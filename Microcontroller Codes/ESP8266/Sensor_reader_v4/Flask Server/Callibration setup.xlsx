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\Documents\GitHub\Proa-II-Electrical-Setup\Microcontroller Codes\ESP8266\Sensor_reader_v4\Flask Server\"/>
    </mc:Choice>
  </mc:AlternateContent>
  <xr:revisionPtr revIDLastSave="0" documentId="13_ncr:1_{33F8A569-E261-4745-8958-0C428CF0465E}" xr6:coauthVersionLast="47" xr6:coauthVersionMax="47" xr10:uidLastSave="{00000000-0000-0000-0000-000000000000}"/>
  <bookViews>
    <workbookView xWindow="-96" yWindow="0" windowWidth="15216" windowHeight="13776" xr2:uid="{7531ECA2-DA00-4F76-ABDC-FCF590B5A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S26" i="1" s="1"/>
  <c r="R25" i="1"/>
  <c r="S25" i="1" s="1"/>
  <c r="R24" i="1"/>
  <c r="S24" i="1" s="1"/>
  <c r="R23" i="1"/>
  <c r="S23" i="1" s="1"/>
  <c r="O24" i="1"/>
  <c r="P24" i="1" s="1"/>
  <c r="P26" i="1" s="1"/>
  <c r="O25" i="1"/>
  <c r="O26" i="1"/>
  <c r="O23" i="1"/>
  <c r="P25" i="1"/>
  <c r="P23" i="1"/>
  <c r="C25" i="1"/>
  <c r="C26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<sst xmlns="http://schemas.openxmlformats.org/spreadsheetml/2006/main" count="16" uniqueCount="12">
  <si>
    <t>Resistance</t>
  </si>
  <si>
    <t>Voltage</t>
  </si>
  <si>
    <t>Current</t>
  </si>
  <si>
    <t>Reading 1</t>
  </si>
  <si>
    <t>Reading 2</t>
  </si>
  <si>
    <t>Initial Resistance</t>
  </si>
  <si>
    <t>Curr:</t>
  </si>
  <si>
    <t>Calculated</t>
  </si>
  <si>
    <t>Converted</t>
  </si>
  <si>
    <t>Equation</t>
  </si>
  <si>
    <t>Blue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</si>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</sst>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Reading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249551334934665"/>
                  <c:y val="0.269190704053620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Sheet1!$C$2:$C$18</c:f>
              <c:numCache>
                <c:formatCode>General</c:formatCode>
                <c:ptCount val="17"/>
                <c:pt idx="0">
                  <c:v>22.909090909090907</c:v>
                </c:pt>
                <c:pt idx="1">
                  <c:v>24.8</c:v>
                </c:pt>
                <c:pt idx="2">
                  <c:v>25.1</c:v>
                </c:pt>
                <c:pt idx="3">
                  <c:v>19.46153846153846</c:v>
                </c:pt>
                <c:pt idx="4">
                  <c:v>22.545454545454543</c:v>
                </c:pt>
                <c:pt idx="5">
                  <c:v>30.625</c:v>
                </c:pt>
                <c:pt idx="6">
                  <c:v>30.375</c:v>
                </c:pt>
                <c:pt idx="7">
                  <c:v>30.625</c:v>
                </c:pt>
                <c:pt idx="8">
                  <c:v>25.1</c:v>
                </c:pt>
                <c:pt idx="9">
                  <c:v>25.3</c:v>
                </c:pt>
                <c:pt idx="10">
                  <c:v>23.090909090909086</c:v>
                </c:pt>
                <c:pt idx="11">
                  <c:v>0</c:v>
                </c:pt>
              </c:numCache>
            </c:numRef>
          </c:xVal>
          <c:yVal>
            <c:numRef>
              <c:f>Sheet1!$D$2:$D$18</c:f>
              <c:numCache>
                <c:formatCode>General</c:formatCode>
                <c:ptCount val="17"/>
                <c:pt idx="0">
                  <c:v>6062</c:v>
                </c:pt>
                <c:pt idx="1">
                  <c:v>6846</c:v>
                </c:pt>
                <c:pt idx="2">
                  <c:v>7610</c:v>
                </c:pt>
                <c:pt idx="3">
                  <c:v>6160</c:v>
                </c:pt>
                <c:pt idx="4">
                  <c:v>8584</c:v>
                </c:pt>
                <c:pt idx="5">
                  <c:v>10995</c:v>
                </c:pt>
                <c:pt idx="6">
                  <c:v>11514</c:v>
                </c:pt>
                <c:pt idx="7">
                  <c:v>11397</c:v>
                </c:pt>
                <c:pt idx="8">
                  <c:v>7392</c:v>
                </c:pt>
                <c:pt idx="9">
                  <c:v>6535</c:v>
                </c:pt>
                <c:pt idx="10">
                  <c:v>6039</c:v>
                </c:pt>
                <c:pt idx="11">
                  <c:v>-57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F-4C4E-B4BF-723B63F67364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Reading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Sheet1!$C$2:$C$18</c:f>
              <c:numCache>
                <c:formatCode>General</c:formatCode>
                <c:ptCount val="17"/>
                <c:pt idx="0">
                  <c:v>22.909090909090907</c:v>
                </c:pt>
                <c:pt idx="1">
                  <c:v>24.8</c:v>
                </c:pt>
                <c:pt idx="2">
                  <c:v>25.1</c:v>
                </c:pt>
                <c:pt idx="3">
                  <c:v>19.46153846153846</c:v>
                </c:pt>
                <c:pt idx="4">
                  <c:v>22.545454545454543</c:v>
                </c:pt>
                <c:pt idx="5">
                  <c:v>30.625</c:v>
                </c:pt>
                <c:pt idx="6">
                  <c:v>30.375</c:v>
                </c:pt>
                <c:pt idx="7">
                  <c:v>30.625</c:v>
                </c:pt>
                <c:pt idx="8">
                  <c:v>25.1</c:v>
                </c:pt>
                <c:pt idx="9">
                  <c:v>25.3</c:v>
                </c:pt>
                <c:pt idx="10">
                  <c:v>23.090909090909086</c:v>
                </c:pt>
                <c:pt idx="11">
                  <c:v>0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6067</c:v>
                </c:pt>
                <c:pt idx="1">
                  <c:v>6999</c:v>
                </c:pt>
                <c:pt idx="2">
                  <c:v>7777</c:v>
                </c:pt>
                <c:pt idx="3">
                  <c:v>6305</c:v>
                </c:pt>
                <c:pt idx="4">
                  <c:v>8761</c:v>
                </c:pt>
                <c:pt idx="5">
                  <c:v>11197</c:v>
                </c:pt>
                <c:pt idx="6">
                  <c:v>11735</c:v>
                </c:pt>
                <c:pt idx="7">
                  <c:v>11609</c:v>
                </c:pt>
                <c:pt idx="8">
                  <c:v>7548</c:v>
                </c:pt>
                <c:pt idx="9">
                  <c:v>6696</c:v>
                </c:pt>
                <c:pt idx="10">
                  <c:v>6188</c:v>
                </c:pt>
                <c:pt idx="11">
                  <c:v>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6F-4C4E-B4BF-723B63F67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587040"/>
        <c:axId val="1461570720"/>
      </c:scatterChart>
      <c:valAx>
        <c:axId val="146158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70720"/>
        <c:crosses val="autoZero"/>
        <c:crossBetween val="midCat"/>
      </c:valAx>
      <c:valAx>
        <c:axId val="14615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8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5</xdr:row>
      <xdr:rowOff>83820</xdr:rowOff>
    </xdr:from>
    <xdr:to>
      <xdr:col>13</xdr:col>
      <xdr:colOff>396240</xdr:colOff>
      <xdr:row>20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9808D-EA8C-0518-7401-574F4C4E4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C1F1C-C346-40A2-AED4-01E548A5B84D}" name="Table1" displayName="Table1" ref="A1:E15" totalsRowShown="0">
  <autoFilter ref="A1:E15" xr:uid="{2E6C1F1C-C346-40A2-AED4-01E548A5B84D}"/>
  <tableColumns count="5">
    <tableColumn id="1" xr3:uid="{9DCCA9BC-CC5F-4B97-94E2-9B11E3E7F1C2}" name="Resistance"/>
    <tableColumn id="2" xr3:uid="{3C2514E6-8D46-4858-BD37-DB9203AD1C5E}" name="Voltage"/>
    <tableColumn id="3" xr3:uid="{FF657815-9719-4713-B846-2D1B3DBFC227}" name="Current">
      <calculatedColumnFormula>B2/A2</calculatedColumnFormula>
    </tableColumn>
    <tableColumn id="4" xr3:uid="{0BFD2001-A65A-4633-88A3-5EE4BCD0BFA9}" name="Reading 1"/>
    <tableColumn id="5" xr3:uid="{A531ED5C-A85D-4EC7-8A8F-EB1246D50E06}" name="Reading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075C-118D-4BC9-9E59-C74B697F8432}">
  <dimension ref="A1:S31"/>
  <sheetViews>
    <sheetView tabSelected="1" topLeftCell="F9" zoomScale="157" zoomScaleNormal="125" workbookViewId="0">
      <selection activeCell="L35" sqref="L35"/>
    </sheetView>
  </sheetViews>
  <sheetFormatPr defaultRowHeight="14.4" x14ac:dyDescent="0.3"/>
  <cols>
    <col min="1" max="1" width="12" customWidth="1"/>
    <col min="2" max="3" width="9.109375" customWidth="1"/>
    <col min="4" max="5" width="10.88671875" customWidth="1"/>
    <col min="11" max="11" width="15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1.1000000000000001</v>
      </c>
      <c r="B2">
        <v>25.2</v>
      </c>
      <c r="C2">
        <f>B2/A2</f>
        <v>22.909090909090907</v>
      </c>
      <c r="D2">
        <v>6062</v>
      </c>
      <c r="E2">
        <v>6067</v>
      </c>
    </row>
    <row r="3" spans="1:5" x14ac:dyDescent="0.3">
      <c r="A3">
        <v>1</v>
      </c>
      <c r="B3">
        <v>24.8</v>
      </c>
      <c r="C3">
        <f t="shared" ref="C3:C9" si="0">B3/A3</f>
        <v>24.8</v>
      </c>
      <c r="D3">
        <v>6846</v>
      </c>
      <c r="E3">
        <v>6999</v>
      </c>
    </row>
    <row r="4" spans="1:5" x14ac:dyDescent="0.3">
      <c r="A4">
        <v>1</v>
      </c>
      <c r="B4">
        <v>25.1</v>
      </c>
      <c r="C4">
        <f t="shared" si="0"/>
        <v>25.1</v>
      </c>
      <c r="D4">
        <v>7610</v>
      </c>
      <c r="E4">
        <v>7777</v>
      </c>
    </row>
    <row r="5" spans="1:5" x14ac:dyDescent="0.3">
      <c r="A5">
        <v>1.3</v>
      </c>
      <c r="B5">
        <v>25.3</v>
      </c>
      <c r="C5">
        <f t="shared" si="0"/>
        <v>19.46153846153846</v>
      </c>
      <c r="D5">
        <v>6160</v>
      </c>
      <c r="E5">
        <v>6305</v>
      </c>
    </row>
    <row r="6" spans="1:5" x14ac:dyDescent="0.3">
      <c r="A6">
        <v>1.1000000000000001</v>
      </c>
      <c r="B6">
        <v>24.8</v>
      </c>
      <c r="C6">
        <f t="shared" si="0"/>
        <v>22.545454545454543</v>
      </c>
      <c r="D6">
        <v>8584</v>
      </c>
      <c r="E6">
        <v>8761</v>
      </c>
    </row>
    <row r="7" spans="1:5" x14ac:dyDescent="0.3">
      <c r="A7">
        <v>0.8</v>
      </c>
      <c r="B7">
        <v>24.5</v>
      </c>
      <c r="C7">
        <f t="shared" si="0"/>
        <v>30.625</v>
      </c>
      <c r="D7">
        <v>10995</v>
      </c>
      <c r="E7">
        <v>11197</v>
      </c>
    </row>
    <row r="8" spans="1:5" x14ac:dyDescent="0.3">
      <c r="A8">
        <v>0.8</v>
      </c>
      <c r="B8">
        <v>24.3</v>
      </c>
      <c r="C8">
        <f t="shared" si="0"/>
        <v>30.375</v>
      </c>
      <c r="D8">
        <v>11514</v>
      </c>
      <c r="E8">
        <v>11735</v>
      </c>
    </row>
    <row r="9" spans="1:5" x14ac:dyDescent="0.3">
      <c r="A9">
        <v>0.8</v>
      </c>
      <c r="B9">
        <v>24.5</v>
      </c>
      <c r="C9">
        <f t="shared" si="0"/>
        <v>30.625</v>
      </c>
      <c r="D9">
        <v>11397</v>
      </c>
      <c r="E9">
        <v>11609</v>
      </c>
    </row>
    <row r="10" spans="1:5" x14ac:dyDescent="0.3">
      <c r="A10">
        <v>1</v>
      </c>
      <c r="B10">
        <v>25.1</v>
      </c>
      <c r="C10">
        <f>B10/A10</f>
        <v>25.1</v>
      </c>
      <c r="D10">
        <v>7392</v>
      </c>
      <c r="E10">
        <v>7548</v>
      </c>
    </row>
    <row r="11" spans="1:5" x14ac:dyDescent="0.3">
      <c r="A11">
        <v>1</v>
      </c>
      <c r="B11">
        <v>25.3</v>
      </c>
      <c r="C11">
        <f>B11/A11</f>
        <v>25.3</v>
      </c>
      <c r="D11">
        <v>6535</v>
      </c>
      <c r="E11">
        <v>6696</v>
      </c>
    </row>
    <row r="12" spans="1:5" x14ac:dyDescent="0.3">
      <c r="A12">
        <v>1.1000000000000001</v>
      </c>
      <c r="B12">
        <v>25.4</v>
      </c>
      <c r="C12">
        <f>B12/A12</f>
        <v>23.090909090909086</v>
      </c>
      <c r="D12">
        <v>6039</v>
      </c>
      <c r="E12">
        <v>6188</v>
      </c>
    </row>
    <row r="13" spans="1:5" x14ac:dyDescent="0.3">
      <c r="C13">
        <v>0</v>
      </c>
      <c r="D13">
        <v>-57</v>
      </c>
      <c r="E13">
        <v>-22</v>
      </c>
    </row>
    <row r="21" spans="1:19" x14ac:dyDescent="0.3">
      <c r="O21" t="s">
        <v>6</v>
      </c>
      <c r="P21">
        <v>80</v>
      </c>
      <c r="R21" t="s">
        <v>6</v>
      </c>
      <c r="S21">
        <v>50</v>
      </c>
    </row>
    <row r="22" spans="1:19" x14ac:dyDescent="0.3">
      <c r="L22" t="s">
        <v>9</v>
      </c>
      <c r="M22" t="s">
        <v>11</v>
      </c>
      <c r="O22" t="s">
        <v>7</v>
      </c>
      <c r="P22" t="s">
        <v>8</v>
      </c>
      <c r="R22" t="s">
        <v>7</v>
      </c>
      <c r="S22" t="s">
        <v>8</v>
      </c>
    </row>
    <row r="23" spans="1:19" x14ac:dyDescent="0.3">
      <c r="H23" t="s">
        <v>5</v>
      </c>
      <c r="L23">
        <v>363.17</v>
      </c>
      <c r="M23">
        <v>-898.46</v>
      </c>
      <c r="O23">
        <f>$L23*P$21+$M23</f>
        <v>28155.140000000003</v>
      </c>
      <c r="P23">
        <f>O23/(80000/3)*100</f>
        <v>105.58177500000001</v>
      </c>
      <c r="R23">
        <f>$L23*S$21+$M23</f>
        <v>17260.04</v>
      </c>
      <c r="S23">
        <f>R23/(80000/3)*100</f>
        <v>64.725149999999999</v>
      </c>
    </row>
    <row r="24" spans="1:19" x14ac:dyDescent="0.3">
      <c r="H24">
        <v>1</v>
      </c>
      <c r="K24" s="4"/>
      <c r="L24">
        <v>257.27999999999997</v>
      </c>
      <c r="M24">
        <v>1087.0999999999999</v>
      </c>
      <c r="O24">
        <f t="shared" ref="O24:O26" si="1">$L24*P$21+$M24</f>
        <v>21669.499999999996</v>
      </c>
      <c r="P24">
        <f t="shared" ref="P24:P26" si="2">O24/(80000/3)*100</f>
        <v>81.26062499999999</v>
      </c>
      <c r="R24">
        <f t="shared" ref="R24:R26" si="3">$L24*S$21+$M24</f>
        <v>13951.099999999999</v>
      </c>
      <c r="S24">
        <f t="shared" ref="S24:S26" si="4">R24/(80000/3)*100</f>
        <v>52.316624999999995</v>
      </c>
    </row>
    <row r="25" spans="1:19" x14ac:dyDescent="0.3">
      <c r="A25" s="1">
        <v>0.6</v>
      </c>
      <c r="B25" s="2">
        <v>25</v>
      </c>
      <c r="C25" s="2">
        <f>B25/A25</f>
        <v>41.666666666666671</v>
      </c>
      <c r="D25" s="2">
        <v>8844</v>
      </c>
      <c r="E25" s="3">
        <v>9005</v>
      </c>
      <c r="L25">
        <v>363.88</v>
      </c>
      <c r="M25">
        <v>-916.73</v>
      </c>
      <c r="O25">
        <f t="shared" si="1"/>
        <v>28193.670000000002</v>
      </c>
      <c r="P25">
        <f t="shared" si="2"/>
        <v>105.72626250000002</v>
      </c>
      <c r="R25">
        <f t="shared" si="3"/>
        <v>17277.27</v>
      </c>
      <c r="S25">
        <f t="shared" si="4"/>
        <v>64.789762500000009</v>
      </c>
    </row>
    <row r="26" spans="1:19" x14ac:dyDescent="0.3">
      <c r="A26" s="1">
        <v>0.8</v>
      </c>
      <c r="B26" s="2">
        <v>25.5</v>
      </c>
      <c r="C26" s="2">
        <f>B26/A26</f>
        <v>31.875</v>
      </c>
      <c r="D26" s="2">
        <v>6136</v>
      </c>
      <c r="E26" s="3">
        <v>6276</v>
      </c>
      <c r="L26">
        <v>328.52</v>
      </c>
      <c r="M26">
        <v>0</v>
      </c>
      <c r="O26">
        <f t="shared" si="1"/>
        <v>26281.599999999999</v>
      </c>
      <c r="P26">
        <f t="shared" si="2"/>
        <v>98.555999999999983</v>
      </c>
      <c r="R26">
        <f t="shared" si="3"/>
        <v>16426</v>
      </c>
      <c r="S26">
        <f t="shared" si="4"/>
        <v>61.597499999999997</v>
      </c>
    </row>
    <row r="31" spans="1:19" x14ac:dyDescent="0.3">
      <c r="L31" t="s">
        <v>9</v>
      </c>
      <c r="M31" t="s">
        <v>10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2026-03-18T08:03:57Z</dcterms:created>
  <dcterms:modified xsi:type="dcterms:W3CDTF">2026-03-18T09:31:26Z</dcterms:modified>
</cp:coreProperties>
</file>