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\Documents\GitHub\Proa-II-Electrical-Setup\Calibration Data 2\Data\Voltage sensor\"/>
    </mc:Choice>
  </mc:AlternateContent>
  <xr:revisionPtr revIDLastSave="0" documentId="8_{16D7BDBA-237B-4A18-83BE-650817777AA8}" xr6:coauthVersionLast="47" xr6:coauthVersionMax="47" xr10:uidLastSave="{00000000-0000-0000-0000-000000000000}"/>
  <bookViews>
    <workbookView xWindow="-108" yWindow="-108" windowWidth="23256" windowHeight="13896" xr2:uid="{B6D28FCB-C6DA-474E-A13C-C90CDD553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F2" i="1" s="1"/>
  <c r="E3" i="1"/>
  <c r="F3" i="1" s="1"/>
  <c r="E4" i="1"/>
  <c r="F4" i="1" s="1"/>
  <c r="E5" i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F5" i="1"/>
  <c r="F2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" i="1"/>
  <c r="I2" i="1" l="1"/>
</calcChain>
</file>

<file path=xl/sharedStrings.xml><?xml version="1.0" encoding="utf-8"?>
<sst xmlns="http://schemas.openxmlformats.org/spreadsheetml/2006/main" count="8" uniqueCount="8">
  <si>
    <t>Actual Voltage</t>
  </si>
  <si>
    <t>ADS1115 Reaading</t>
  </si>
  <si>
    <t>ADS Voltage Reading</t>
  </si>
  <si>
    <t>Divided Voltage</t>
  </si>
  <si>
    <t>Voltage Difference</t>
  </si>
  <si>
    <t>Average</t>
  </si>
  <si>
    <t>Scaled Voltage</t>
  </si>
  <si>
    <t>Ratio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</si>
</sst>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Voltage Difference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55.2</c:v>
                </c:pt>
                <c:pt idx="1">
                  <c:v>52.8</c:v>
                </c:pt>
                <c:pt idx="2">
                  <c:v>52.4</c:v>
                </c:pt>
                <c:pt idx="3">
                  <c:v>53.6</c:v>
                </c:pt>
                <c:pt idx="4">
                  <c:v>53.9</c:v>
                </c:pt>
                <c:pt idx="5">
                  <c:v>54</c:v>
                </c:pt>
                <c:pt idx="6">
                  <c:v>54</c:v>
                </c:pt>
                <c:pt idx="7">
                  <c:v>51.8</c:v>
                </c:pt>
                <c:pt idx="8">
                  <c:v>51.5</c:v>
                </c:pt>
                <c:pt idx="9">
                  <c:v>53</c:v>
                </c:pt>
                <c:pt idx="10">
                  <c:v>53.1</c:v>
                </c:pt>
                <c:pt idx="11">
                  <c:v>53.1</c:v>
                </c:pt>
                <c:pt idx="12">
                  <c:v>50.9</c:v>
                </c:pt>
                <c:pt idx="13">
                  <c:v>52.1</c:v>
                </c:pt>
                <c:pt idx="14">
                  <c:v>52.3</c:v>
                </c:pt>
                <c:pt idx="15">
                  <c:v>52.4</c:v>
                </c:pt>
                <c:pt idx="16">
                  <c:v>50.9</c:v>
                </c:pt>
                <c:pt idx="17">
                  <c:v>50.4</c:v>
                </c:pt>
                <c:pt idx="18">
                  <c:v>50.2</c:v>
                </c:pt>
                <c:pt idx="19">
                  <c:v>51.4</c:v>
                </c:pt>
                <c:pt idx="20">
                  <c:v>51.7</c:v>
                </c:pt>
                <c:pt idx="21">
                  <c:v>51.8</c:v>
                </c:pt>
                <c:pt idx="22">
                  <c:v>49.8</c:v>
                </c:pt>
                <c:pt idx="23">
                  <c:v>49.6</c:v>
                </c:pt>
                <c:pt idx="24">
                  <c:v>51.2</c:v>
                </c:pt>
                <c:pt idx="25">
                  <c:v>51.2</c:v>
                </c:pt>
                <c:pt idx="26">
                  <c:v>51.3</c:v>
                </c:pt>
                <c:pt idx="27">
                  <c:v>49.5</c:v>
                </c:pt>
                <c:pt idx="28">
                  <c:v>50.7</c:v>
                </c:pt>
                <c:pt idx="29">
                  <c:v>50.8</c:v>
                </c:pt>
                <c:pt idx="30">
                  <c:v>50</c:v>
                </c:pt>
                <c:pt idx="31">
                  <c:v>50.2</c:v>
                </c:pt>
                <c:pt idx="32">
                  <c:v>48.1</c:v>
                </c:pt>
                <c:pt idx="33">
                  <c:v>49.4</c:v>
                </c:pt>
                <c:pt idx="34">
                  <c:v>49.4</c:v>
                </c:pt>
                <c:pt idx="35">
                  <c:v>47.6</c:v>
                </c:pt>
                <c:pt idx="36">
                  <c:v>49.1</c:v>
                </c:pt>
                <c:pt idx="37">
                  <c:v>45.1</c:v>
                </c:pt>
                <c:pt idx="38">
                  <c:v>46.7</c:v>
                </c:pt>
                <c:pt idx="39">
                  <c:v>48.2</c:v>
                </c:pt>
                <c:pt idx="40">
                  <c:v>21.3</c:v>
                </c:pt>
                <c:pt idx="41">
                  <c:v>22.1</c:v>
                </c:pt>
                <c:pt idx="42">
                  <c:v>22.8</c:v>
                </c:pt>
                <c:pt idx="43">
                  <c:v>23.5</c:v>
                </c:pt>
                <c:pt idx="44">
                  <c:v>23.3</c:v>
                </c:pt>
                <c:pt idx="45">
                  <c:v>24</c:v>
                </c:pt>
                <c:pt idx="46">
                  <c:v>24.5</c:v>
                </c:pt>
                <c:pt idx="47">
                  <c:v>24.3</c:v>
                </c:pt>
                <c:pt idx="48">
                  <c:v>24.8</c:v>
                </c:pt>
                <c:pt idx="49">
                  <c:v>24.5</c:v>
                </c:pt>
                <c:pt idx="50">
                  <c:v>24.7</c:v>
                </c:pt>
              </c:numCache>
            </c:numRef>
          </c:xVal>
          <c:yVal>
            <c:numRef>
              <c:f>Sheet1!$F$2:$F$52</c:f>
              <c:numCache>
                <c:formatCode>General</c:formatCode>
                <c:ptCount val="51"/>
                <c:pt idx="0">
                  <c:v>-9.6928124999998033E-2</c:v>
                </c:pt>
                <c:pt idx="1">
                  <c:v>7.2796874999994543E-2</c:v>
                </c:pt>
                <c:pt idx="2">
                  <c:v>2.8184374999995043E-2</c:v>
                </c:pt>
                <c:pt idx="3">
                  <c:v>9.3874999999954412E-3</c:v>
                </c:pt>
                <c:pt idx="4">
                  <c:v>-6.8781250000007788E-2</c:v>
                </c:pt>
                <c:pt idx="5">
                  <c:v>-1.434374999999477E-2</c:v>
                </c:pt>
                <c:pt idx="6">
                  <c:v>-7.8131249999998431E-2</c:v>
                </c:pt>
                <c:pt idx="7">
                  <c:v>4.0999999999996817E-2</c:v>
                </c:pt>
                <c:pt idx="8">
                  <c:v>-6.1281250000035925E-3</c:v>
                </c:pt>
                <c:pt idx="9">
                  <c:v>-2.5637500000001978E-2</c:v>
                </c:pt>
                <c:pt idx="10">
                  <c:v>1.5131249999996044E-2</c:v>
                </c:pt>
                <c:pt idx="11">
                  <c:v>-5.3718750000086857E-3</c:v>
                </c:pt>
                <c:pt idx="12">
                  <c:v>-2.5206250000003649E-2</c:v>
                </c:pt>
                <c:pt idx="13">
                  <c:v>0.12002187499999195</c:v>
                </c:pt>
                <c:pt idx="14">
                  <c:v>-3.7643750000000864E-2</c:v>
                </c:pt>
                <c:pt idx="15">
                  <c:v>3.0462499999998727E-2</c:v>
                </c:pt>
                <c:pt idx="16">
                  <c:v>3.1746875000003172E-2</c:v>
                </c:pt>
                <c:pt idx="17">
                  <c:v>3.7490624999996669E-2</c:v>
                </c:pt>
                <c:pt idx="18">
                  <c:v>1.0628124999996658E-2</c:v>
                </c:pt>
                <c:pt idx="19">
                  <c:v>-4.2340625000001353E-2</c:v>
                </c:pt>
                <c:pt idx="20">
                  <c:v>-2.0468750000048885E-3</c:v>
                </c:pt>
                <c:pt idx="21">
                  <c:v>2.0496874999999193E-2</c:v>
                </c:pt>
                <c:pt idx="22">
                  <c:v>8.9034374999990007E-2</c:v>
                </c:pt>
                <c:pt idx="23">
                  <c:v>-1.5284375000000239E-2</c:v>
                </c:pt>
                <c:pt idx="24">
                  <c:v>6.5206249999995691E-2</c:v>
                </c:pt>
                <c:pt idx="25">
                  <c:v>-5.7812499999997158E-2</c:v>
                </c:pt>
                <c:pt idx="26">
                  <c:v>-1.0968750000088789E-3</c:v>
                </c:pt>
                <c:pt idx="27">
                  <c:v>3.2793750000003286E-2</c:v>
                </c:pt>
                <c:pt idx="28">
                  <c:v>-6.5062500000010459E-3</c:v>
                </c:pt>
                <c:pt idx="29">
                  <c:v>1.3759374999992247E-2</c:v>
                </c:pt>
                <c:pt idx="30">
                  <c:v>6.5468749999908482E-3</c:v>
                </c:pt>
                <c:pt idx="31">
                  <c:v>3.7937499999998181E-3</c:v>
                </c:pt>
                <c:pt idx="32">
                  <c:v>2.7006249999999454E-2</c:v>
                </c:pt>
                <c:pt idx="33">
                  <c:v>-3.4187500000086857E-3</c:v>
                </c:pt>
                <c:pt idx="34">
                  <c:v>-2.8478125000006571E-2</c:v>
                </c:pt>
                <c:pt idx="35">
                  <c:v>5.412499999998488E-3</c:v>
                </c:pt>
                <c:pt idx="36">
                  <c:v>1.7796874999994827E-2</c:v>
                </c:pt>
                <c:pt idx="37">
                  <c:v>-0.15267500000000211</c:v>
                </c:pt>
                <c:pt idx="38">
                  <c:v>9.8281249999985221E-3</c:v>
                </c:pt>
                <c:pt idx="39">
                  <c:v>-3.2462499999994066E-2</c:v>
                </c:pt>
                <c:pt idx="40">
                  <c:v>0.13394062499999748</c:v>
                </c:pt>
                <c:pt idx="41">
                  <c:v>4.4656249999981412E-3</c:v>
                </c:pt>
                <c:pt idx="42">
                  <c:v>7.3593750000000568E-3</c:v>
                </c:pt>
                <c:pt idx="43">
                  <c:v>3.3034374999996174E-2</c:v>
                </c:pt>
                <c:pt idx="44">
                  <c:v>-2.7999999999998693E-2</c:v>
                </c:pt>
                <c:pt idx="45">
                  <c:v>-2.738437500000046E-2</c:v>
                </c:pt>
                <c:pt idx="46">
                  <c:v>-4.2240625000001586E-2</c:v>
                </c:pt>
                <c:pt idx="47">
                  <c:v>-3.7209374999999767E-2</c:v>
                </c:pt>
                <c:pt idx="48">
                  <c:v>4.5893750000001177E-2</c:v>
                </c:pt>
                <c:pt idx="49">
                  <c:v>-4.6796875000001847E-2</c:v>
                </c:pt>
                <c:pt idx="50">
                  <c:v>-2.2212499999998414E-2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3-4EDB-961D-C4387F982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243552"/>
        <c:axId val="2001243072"/>
      </c:scatterChart>
      <c:valAx>
        <c:axId val="200124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43072"/>
        <c:crosses val="autoZero"/>
        <c:crossBetween val="midCat"/>
      </c:valAx>
      <c:valAx>
        <c:axId val="20012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43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2</xdr:row>
      <xdr:rowOff>171450</xdr:rowOff>
    </xdr:from>
    <xdr:to>
      <xdr:col>13</xdr:col>
      <xdr:colOff>350520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426C6C-B606-4384-2FE8-C3E98A8B8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BCCB0-9A45-4E14-BF66-68D32D6CCCDD}" name="Table1" displayName="Table1" ref="A1:F52" totalsRowShown="0">
  <autoFilter ref="A1:F52" xr:uid="{BFEBCCB0-9A45-4E14-BF66-68D32D6CCCDD}"/>
  <tableColumns count="6">
    <tableColumn id="1" xr3:uid="{A3ADD35A-592E-4B27-B8B9-90526802A05C}" name="Actual Voltage"/>
    <tableColumn id="2" xr3:uid="{E82573D6-AD3C-49B1-9451-AA62B4394954}" name="Divided Voltage">
      <calculatedColumnFormula>A2/12</calculatedColumnFormula>
    </tableColumn>
    <tableColumn id="3" xr3:uid="{CBC2CC2D-35B4-4D72-814B-6AFDA0E56379}" name="ADS1115 Reaading"/>
    <tableColumn id="4" xr3:uid="{7B4252B1-7BDF-4D58-8C5B-44B38564D29F}" name="ADS Voltage Reading">
      <calculatedColumnFormula>C2*0.0001875</calculatedColumnFormula>
    </tableColumn>
    <tableColumn id="5" xr3:uid="{F0F0EA9C-97E8-4599-8F32-A0AA4B58F728}" name="Scaled Voltage" dataDxfId="0">
      <calculatedColumnFormula>D2*$I$3</calculatedColumnFormula>
    </tableColumn>
    <tableColumn id="6" xr3:uid="{756DED9B-96DF-4B2E-98FA-53567F8ACDC1}" name="Voltage Difference">
      <calculatedColumnFormula>A2-E2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9F785-4062-4E0A-AC5E-7324F87C6CC8}">
  <dimension ref="A1:I52"/>
  <sheetViews>
    <sheetView tabSelected="1" workbookViewId="0">
      <selection activeCell="K24" sqref="K24"/>
    </sheetView>
  </sheetViews>
  <sheetFormatPr defaultRowHeight="14.4" x14ac:dyDescent="0.3"/>
  <cols>
    <col min="1" max="1" width="14.77734375" customWidth="1"/>
    <col min="2" max="2" width="15.88671875" customWidth="1"/>
    <col min="3" max="3" width="18.33203125" customWidth="1"/>
    <col min="4" max="4" width="19.88671875" customWidth="1"/>
    <col min="5" max="5" width="17.6640625" customWidth="1"/>
    <col min="6" max="6" width="18" customWidth="1"/>
  </cols>
  <sheetData>
    <row r="1" spans="1:9" x14ac:dyDescent="0.3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</v>
      </c>
    </row>
    <row r="2" spans="1:9" x14ac:dyDescent="0.3">
      <c r="A2">
        <v>55.2</v>
      </c>
      <c r="B2">
        <f>A2/12</f>
        <v>4.6000000000000005</v>
      </c>
      <c r="C2">
        <v>24273</v>
      </c>
      <c r="D2">
        <f>C2*0.0001875</f>
        <v>4.5511875000000002</v>
      </c>
      <c r="E2">
        <f t="shared" ref="E2:E33" si="0">D2*$I$3</f>
        <v>55.296928125000001</v>
      </c>
      <c r="F2">
        <f>A2-E2</f>
        <v>-9.6928124999998033E-2</v>
      </c>
      <c r="H2" t="s">
        <v>5</v>
      </c>
      <c r="I2">
        <f>AVERAGE(F:F)</f>
        <v>1.7806372548778268E-4</v>
      </c>
    </row>
    <row r="3" spans="1:9" x14ac:dyDescent="0.3">
      <c r="A3">
        <v>52.8</v>
      </c>
      <c r="B3">
        <f t="shared" ref="B3:B52" si="1">A3/12</f>
        <v>4.3999999999999995</v>
      </c>
      <c r="C3">
        <v>23145</v>
      </c>
      <c r="D3">
        <f t="shared" ref="D3:D52" si="2">C3*0.0001875</f>
        <v>4.3396875000000001</v>
      </c>
      <c r="E3">
        <f t="shared" si="0"/>
        <v>52.727203125000003</v>
      </c>
      <c r="F3">
        <f t="shared" ref="F3:F52" si="3">A3-E3</f>
        <v>7.2796874999994543E-2</v>
      </c>
      <c r="H3" t="s">
        <v>7</v>
      </c>
      <c r="I3">
        <v>12.15</v>
      </c>
    </row>
    <row r="4" spans="1:9" x14ac:dyDescent="0.3">
      <c r="A4">
        <v>52.4</v>
      </c>
      <c r="B4">
        <f t="shared" si="1"/>
        <v>4.3666666666666663</v>
      </c>
      <c r="C4">
        <v>22989</v>
      </c>
      <c r="D4">
        <f t="shared" si="2"/>
        <v>4.3104374999999999</v>
      </c>
      <c r="E4">
        <f t="shared" si="0"/>
        <v>52.371815625000004</v>
      </c>
      <c r="F4">
        <f t="shared" si="3"/>
        <v>2.8184374999995043E-2</v>
      </c>
    </row>
    <row r="5" spans="1:9" x14ac:dyDescent="0.3">
      <c r="A5">
        <v>53.6</v>
      </c>
      <c r="B5">
        <f t="shared" si="1"/>
        <v>4.4666666666666668</v>
      </c>
      <c r="C5">
        <v>23524</v>
      </c>
      <c r="D5">
        <f t="shared" si="2"/>
        <v>4.4107500000000002</v>
      </c>
      <c r="E5">
        <f t="shared" si="0"/>
        <v>53.590612500000006</v>
      </c>
      <c r="F5">
        <f t="shared" si="3"/>
        <v>9.3874999999954412E-3</v>
      </c>
    </row>
    <row r="6" spans="1:9" x14ac:dyDescent="0.3">
      <c r="A6">
        <v>53.9</v>
      </c>
      <c r="B6">
        <f t="shared" si="1"/>
        <v>4.4916666666666663</v>
      </c>
      <c r="C6">
        <v>23690</v>
      </c>
      <c r="D6">
        <f t="shared" si="2"/>
        <v>4.4418750000000005</v>
      </c>
      <c r="E6">
        <f t="shared" si="0"/>
        <v>53.968781250000006</v>
      </c>
      <c r="F6">
        <f t="shared" si="3"/>
        <v>-6.8781250000007788E-2</v>
      </c>
    </row>
    <row r="7" spans="1:9" x14ac:dyDescent="0.3">
      <c r="A7">
        <v>54</v>
      </c>
      <c r="B7">
        <f t="shared" si="1"/>
        <v>4.5</v>
      </c>
      <c r="C7">
        <v>23710</v>
      </c>
      <c r="D7">
        <f t="shared" si="2"/>
        <v>4.4456249999999997</v>
      </c>
      <c r="E7">
        <f t="shared" si="0"/>
        <v>54.014343749999995</v>
      </c>
      <c r="F7">
        <f t="shared" si="3"/>
        <v>-1.434374999999477E-2</v>
      </c>
    </row>
    <row r="8" spans="1:9" x14ac:dyDescent="0.3">
      <c r="A8">
        <v>54</v>
      </c>
      <c r="B8">
        <f t="shared" si="1"/>
        <v>4.5</v>
      </c>
      <c r="C8">
        <v>23738</v>
      </c>
      <c r="D8">
        <f t="shared" si="2"/>
        <v>4.4508749999999999</v>
      </c>
      <c r="E8">
        <f t="shared" si="0"/>
        <v>54.078131249999998</v>
      </c>
      <c r="F8">
        <f t="shared" si="3"/>
        <v>-7.8131249999998431E-2</v>
      </c>
    </row>
    <row r="9" spans="1:9" x14ac:dyDescent="0.3">
      <c r="A9">
        <v>51.8</v>
      </c>
      <c r="B9">
        <f t="shared" si="1"/>
        <v>4.3166666666666664</v>
      </c>
      <c r="C9">
        <v>22720</v>
      </c>
      <c r="D9">
        <f t="shared" si="2"/>
        <v>4.26</v>
      </c>
      <c r="E9">
        <f t="shared" si="0"/>
        <v>51.759</v>
      </c>
      <c r="F9">
        <f t="shared" si="3"/>
        <v>4.0999999999996817E-2</v>
      </c>
    </row>
    <row r="10" spans="1:9" x14ac:dyDescent="0.3">
      <c r="A10">
        <v>51.5</v>
      </c>
      <c r="B10">
        <f t="shared" si="1"/>
        <v>4.291666666666667</v>
      </c>
      <c r="C10">
        <v>22609</v>
      </c>
      <c r="D10">
        <f t="shared" si="2"/>
        <v>4.2391874999999999</v>
      </c>
      <c r="E10">
        <f t="shared" si="0"/>
        <v>51.506128125000004</v>
      </c>
      <c r="F10">
        <f t="shared" si="3"/>
        <v>-6.1281250000035925E-3</v>
      </c>
    </row>
    <row r="11" spans="1:9" x14ac:dyDescent="0.3">
      <c r="A11">
        <v>53</v>
      </c>
      <c r="B11">
        <f t="shared" si="1"/>
        <v>4.416666666666667</v>
      </c>
      <c r="C11">
        <v>23276</v>
      </c>
      <c r="D11">
        <f t="shared" si="2"/>
        <v>4.3642500000000002</v>
      </c>
      <c r="E11">
        <f t="shared" si="0"/>
        <v>53.025637500000002</v>
      </c>
      <c r="F11">
        <f t="shared" si="3"/>
        <v>-2.5637500000001978E-2</v>
      </c>
    </row>
    <row r="12" spans="1:9" x14ac:dyDescent="0.3">
      <c r="A12">
        <v>53.1</v>
      </c>
      <c r="B12">
        <f t="shared" si="1"/>
        <v>4.4249999999999998</v>
      </c>
      <c r="C12">
        <v>23302</v>
      </c>
      <c r="D12">
        <f t="shared" si="2"/>
        <v>4.3691250000000004</v>
      </c>
      <c r="E12">
        <f t="shared" si="0"/>
        <v>53.084868750000005</v>
      </c>
      <c r="F12">
        <f t="shared" si="3"/>
        <v>1.5131249999996044E-2</v>
      </c>
    </row>
    <row r="13" spans="1:9" x14ac:dyDescent="0.3">
      <c r="A13">
        <v>53.1</v>
      </c>
      <c r="B13">
        <f t="shared" si="1"/>
        <v>4.4249999999999998</v>
      </c>
      <c r="C13">
        <v>23311</v>
      </c>
      <c r="D13">
        <f t="shared" si="2"/>
        <v>4.3708125000000004</v>
      </c>
      <c r="E13">
        <f t="shared" si="0"/>
        <v>53.10537187500001</v>
      </c>
      <c r="F13">
        <f t="shared" si="3"/>
        <v>-5.3718750000086857E-3</v>
      </c>
    </row>
    <row r="14" spans="1:9" x14ac:dyDescent="0.3">
      <c r="A14">
        <v>50.9</v>
      </c>
      <c r="B14">
        <f t="shared" si="1"/>
        <v>4.2416666666666663</v>
      </c>
      <c r="C14">
        <v>22354</v>
      </c>
      <c r="D14">
        <f t="shared" si="2"/>
        <v>4.1913749999999999</v>
      </c>
      <c r="E14">
        <f t="shared" si="0"/>
        <v>50.925206250000002</v>
      </c>
      <c r="F14">
        <f t="shared" si="3"/>
        <v>-2.5206250000003649E-2</v>
      </c>
    </row>
    <row r="15" spans="1:9" x14ac:dyDescent="0.3">
      <c r="A15">
        <v>52.1</v>
      </c>
      <c r="B15">
        <f t="shared" si="1"/>
        <v>4.3416666666666668</v>
      </c>
      <c r="C15">
        <v>22817</v>
      </c>
      <c r="D15">
        <f t="shared" si="2"/>
        <v>4.2781875000000005</v>
      </c>
      <c r="E15">
        <f t="shared" si="0"/>
        <v>51.979978125000009</v>
      </c>
      <c r="F15">
        <f t="shared" si="3"/>
        <v>0.12002187499999195</v>
      </c>
    </row>
    <row r="16" spans="1:9" x14ac:dyDescent="0.3">
      <c r="A16">
        <v>52.3</v>
      </c>
      <c r="B16">
        <f t="shared" si="1"/>
        <v>4.3583333333333334</v>
      </c>
      <c r="C16">
        <v>22974</v>
      </c>
      <c r="D16">
        <f t="shared" si="2"/>
        <v>4.3076249999999998</v>
      </c>
      <c r="E16">
        <f t="shared" si="0"/>
        <v>52.337643749999998</v>
      </c>
      <c r="F16">
        <f t="shared" si="3"/>
        <v>-3.7643750000000864E-2</v>
      </c>
    </row>
    <row r="17" spans="1:6" x14ac:dyDescent="0.3">
      <c r="A17">
        <v>52.4</v>
      </c>
      <c r="B17">
        <f t="shared" si="1"/>
        <v>4.3666666666666663</v>
      </c>
      <c r="C17">
        <v>22988</v>
      </c>
      <c r="D17">
        <f t="shared" si="2"/>
        <v>4.3102499999999999</v>
      </c>
      <c r="E17">
        <f t="shared" si="0"/>
        <v>52.3695375</v>
      </c>
      <c r="F17">
        <f t="shared" si="3"/>
        <v>3.0462499999998727E-2</v>
      </c>
    </row>
    <row r="18" spans="1:6" x14ac:dyDescent="0.3">
      <c r="A18">
        <v>50.9</v>
      </c>
      <c r="B18">
        <f t="shared" si="1"/>
        <v>4.2416666666666663</v>
      </c>
      <c r="C18">
        <v>22329</v>
      </c>
      <c r="D18">
        <f t="shared" si="2"/>
        <v>4.1866874999999997</v>
      </c>
      <c r="E18">
        <f t="shared" si="0"/>
        <v>50.868253124999995</v>
      </c>
      <c r="F18">
        <f t="shared" si="3"/>
        <v>3.1746875000003172E-2</v>
      </c>
    </row>
    <row r="19" spans="1:6" x14ac:dyDescent="0.3">
      <c r="A19">
        <v>50.4</v>
      </c>
      <c r="B19">
        <f t="shared" si="1"/>
        <v>4.2</v>
      </c>
      <c r="C19">
        <v>22107</v>
      </c>
      <c r="D19">
        <f t="shared" si="2"/>
        <v>4.1450624999999999</v>
      </c>
      <c r="E19">
        <f t="shared" si="0"/>
        <v>50.362509375000002</v>
      </c>
      <c r="F19">
        <f t="shared" si="3"/>
        <v>3.7490624999996669E-2</v>
      </c>
    </row>
    <row r="20" spans="1:6" x14ac:dyDescent="0.3">
      <c r="A20">
        <v>50.2</v>
      </c>
      <c r="B20">
        <f t="shared" si="1"/>
        <v>4.1833333333333336</v>
      </c>
      <c r="C20">
        <v>22031</v>
      </c>
      <c r="D20">
        <f t="shared" si="2"/>
        <v>4.1308125000000002</v>
      </c>
      <c r="E20">
        <f t="shared" si="0"/>
        <v>50.189371875000006</v>
      </c>
      <c r="F20">
        <f t="shared" si="3"/>
        <v>1.0628124999996658E-2</v>
      </c>
    </row>
    <row r="21" spans="1:6" x14ac:dyDescent="0.3">
      <c r="A21">
        <v>51.4</v>
      </c>
      <c r="B21">
        <f t="shared" si="1"/>
        <v>4.2833333333333332</v>
      </c>
      <c r="C21">
        <v>22581</v>
      </c>
      <c r="D21">
        <f t="shared" si="2"/>
        <v>4.2339374999999997</v>
      </c>
      <c r="E21">
        <f t="shared" si="0"/>
        <v>51.442340625</v>
      </c>
      <c r="F21">
        <f t="shared" si="3"/>
        <v>-4.2340625000001353E-2</v>
      </c>
    </row>
    <row r="22" spans="1:6" x14ac:dyDescent="0.3">
      <c r="A22">
        <v>51.7</v>
      </c>
      <c r="B22">
        <f t="shared" si="1"/>
        <v>4.3083333333333336</v>
      </c>
      <c r="C22">
        <v>22695</v>
      </c>
      <c r="D22">
        <f t="shared" si="2"/>
        <v>4.2553125000000005</v>
      </c>
      <c r="E22">
        <f t="shared" si="0"/>
        <v>51.702046875000008</v>
      </c>
      <c r="F22">
        <f t="shared" si="3"/>
        <v>-2.0468750000048885E-3</v>
      </c>
    </row>
    <row r="23" spans="1:6" x14ac:dyDescent="0.3">
      <c r="A23">
        <v>51.8</v>
      </c>
      <c r="B23">
        <f t="shared" si="1"/>
        <v>4.3166666666666664</v>
      </c>
      <c r="C23">
        <v>22729</v>
      </c>
      <c r="D23">
        <f t="shared" si="2"/>
        <v>4.2616874999999999</v>
      </c>
      <c r="E23">
        <f t="shared" si="0"/>
        <v>51.779503124999998</v>
      </c>
      <c r="F23">
        <f t="shared" si="3"/>
        <v>2.0496874999999193E-2</v>
      </c>
    </row>
    <row r="24" spans="1:6" x14ac:dyDescent="0.3">
      <c r="A24">
        <v>49.8</v>
      </c>
      <c r="B24">
        <f t="shared" si="1"/>
        <v>4.1499999999999995</v>
      </c>
      <c r="C24">
        <v>21821</v>
      </c>
      <c r="D24">
        <f t="shared" si="2"/>
        <v>4.0914375000000005</v>
      </c>
      <c r="E24">
        <f t="shared" si="0"/>
        <v>49.710965625000007</v>
      </c>
      <c r="F24">
        <f t="shared" si="3"/>
        <v>8.9034374999990007E-2</v>
      </c>
    </row>
    <row r="25" spans="1:6" x14ac:dyDescent="0.3">
      <c r="A25">
        <v>49.6</v>
      </c>
      <c r="B25">
        <f t="shared" si="1"/>
        <v>4.1333333333333337</v>
      </c>
      <c r="C25">
        <v>21779</v>
      </c>
      <c r="D25">
        <f t="shared" si="2"/>
        <v>4.0835625000000002</v>
      </c>
      <c r="E25">
        <f t="shared" si="0"/>
        <v>49.615284375000002</v>
      </c>
      <c r="F25">
        <f t="shared" si="3"/>
        <v>-1.5284375000000239E-2</v>
      </c>
    </row>
    <row r="26" spans="1:6" x14ac:dyDescent="0.3">
      <c r="A26">
        <v>51.2</v>
      </c>
      <c r="B26">
        <f t="shared" si="1"/>
        <v>4.2666666666666666</v>
      </c>
      <c r="C26">
        <v>22446</v>
      </c>
      <c r="D26">
        <f t="shared" si="2"/>
        <v>4.2086250000000005</v>
      </c>
      <c r="E26">
        <f t="shared" si="0"/>
        <v>51.134793750000007</v>
      </c>
      <c r="F26">
        <f t="shared" si="3"/>
        <v>6.5206249999995691E-2</v>
      </c>
    </row>
    <row r="27" spans="1:6" x14ac:dyDescent="0.3">
      <c r="A27">
        <v>51.2</v>
      </c>
      <c r="B27">
        <f t="shared" si="1"/>
        <v>4.2666666666666666</v>
      </c>
      <c r="C27">
        <v>22500</v>
      </c>
      <c r="D27">
        <f t="shared" si="2"/>
        <v>4.21875</v>
      </c>
      <c r="E27">
        <f t="shared" si="0"/>
        <v>51.2578125</v>
      </c>
      <c r="F27">
        <f t="shared" si="3"/>
        <v>-5.7812499999997158E-2</v>
      </c>
    </row>
    <row r="28" spans="1:6" x14ac:dyDescent="0.3">
      <c r="A28">
        <v>51.3</v>
      </c>
      <c r="B28">
        <f t="shared" si="1"/>
        <v>4.2749999999999995</v>
      </c>
      <c r="C28">
        <v>22519</v>
      </c>
      <c r="D28">
        <f t="shared" si="2"/>
        <v>4.2223125000000001</v>
      </c>
      <c r="E28">
        <f t="shared" si="0"/>
        <v>51.301096875000006</v>
      </c>
      <c r="F28">
        <f t="shared" si="3"/>
        <v>-1.0968750000088789E-3</v>
      </c>
    </row>
    <row r="29" spans="1:6" x14ac:dyDescent="0.3">
      <c r="A29">
        <v>49.5</v>
      </c>
      <c r="B29">
        <f t="shared" si="1"/>
        <v>4.125</v>
      </c>
      <c r="C29">
        <v>21714</v>
      </c>
      <c r="D29">
        <f t="shared" si="2"/>
        <v>4.0713749999999997</v>
      </c>
      <c r="E29">
        <f t="shared" si="0"/>
        <v>49.467206249999997</v>
      </c>
      <c r="F29">
        <f t="shared" si="3"/>
        <v>3.2793750000003286E-2</v>
      </c>
    </row>
    <row r="30" spans="1:6" x14ac:dyDescent="0.3">
      <c r="A30">
        <v>50.7</v>
      </c>
      <c r="B30">
        <f t="shared" si="1"/>
        <v>4.2250000000000005</v>
      </c>
      <c r="C30">
        <v>22258</v>
      </c>
      <c r="D30">
        <f t="shared" si="2"/>
        <v>4.1733750000000001</v>
      </c>
      <c r="E30">
        <f t="shared" si="0"/>
        <v>50.706506250000004</v>
      </c>
      <c r="F30">
        <f t="shared" si="3"/>
        <v>-6.5062500000010459E-3</v>
      </c>
    </row>
    <row r="31" spans="1:6" x14ac:dyDescent="0.3">
      <c r="A31">
        <v>50.8</v>
      </c>
      <c r="B31">
        <f t="shared" si="1"/>
        <v>4.2333333333333334</v>
      </c>
      <c r="C31">
        <v>22293</v>
      </c>
      <c r="D31">
        <f t="shared" si="2"/>
        <v>4.1799375000000003</v>
      </c>
      <c r="E31">
        <f t="shared" si="0"/>
        <v>50.786240625000005</v>
      </c>
      <c r="F31">
        <f t="shared" si="3"/>
        <v>1.3759374999992247E-2</v>
      </c>
    </row>
    <row r="32" spans="1:6" x14ac:dyDescent="0.3">
      <c r="A32">
        <v>50</v>
      </c>
      <c r="B32">
        <f t="shared" si="1"/>
        <v>4.166666666666667</v>
      </c>
      <c r="C32">
        <v>21945</v>
      </c>
      <c r="D32">
        <f t="shared" si="2"/>
        <v>4.1146875000000005</v>
      </c>
      <c r="E32">
        <f t="shared" si="0"/>
        <v>49.993453125000009</v>
      </c>
      <c r="F32">
        <f t="shared" si="3"/>
        <v>6.5468749999908482E-3</v>
      </c>
    </row>
    <row r="33" spans="1:6" x14ac:dyDescent="0.3">
      <c r="A33">
        <v>50.2</v>
      </c>
      <c r="B33">
        <f t="shared" si="1"/>
        <v>4.1833333333333336</v>
      </c>
      <c r="C33">
        <v>22034</v>
      </c>
      <c r="D33">
        <f t="shared" si="2"/>
        <v>4.1313750000000002</v>
      </c>
      <c r="E33">
        <f t="shared" si="0"/>
        <v>50.196206250000003</v>
      </c>
      <c r="F33">
        <f t="shared" si="3"/>
        <v>3.7937499999998181E-3</v>
      </c>
    </row>
    <row r="34" spans="1:6" x14ac:dyDescent="0.3">
      <c r="A34">
        <v>48.1</v>
      </c>
      <c r="B34">
        <f t="shared" si="1"/>
        <v>4.0083333333333337</v>
      </c>
      <c r="C34">
        <v>21102</v>
      </c>
      <c r="D34">
        <f t="shared" si="2"/>
        <v>3.9566250000000003</v>
      </c>
      <c r="E34">
        <f t="shared" ref="E34:E65" si="4">D34*$I$3</f>
        <v>48.072993750000002</v>
      </c>
      <c r="F34">
        <f t="shared" si="3"/>
        <v>2.7006249999999454E-2</v>
      </c>
    </row>
    <row r="35" spans="1:6" x14ac:dyDescent="0.3">
      <c r="A35">
        <v>49.4</v>
      </c>
      <c r="B35">
        <f t="shared" si="1"/>
        <v>4.1166666666666663</v>
      </c>
      <c r="C35">
        <v>21686</v>
      </c>
      <c r="D35">
        <f t="shared" si="2"/>
        <v>4.0661250000000004</v>
      </c>
      <c r="E35">
        <f t="shared" si="4"/>
        <v>49.403418750000007</v>
      </c>
      <c r="F35">
        <f t="shared" si="3"/>
        <v>-3.4187500000086857E-3</v>
      </c>
    </row>
    <row r="36" spans="1:6" x14ac:dyDescent="0.3">
      <c r="A36">
        <v>49.4</v>
      </c>
      <c r="B36">
        <f t="shared" si="1"/>
        <v>4.1166666666666663</v>
      </c>
      <c r="C36">
        <v>21697</v>
      </c>
      <c r="D36">
        <f t="shared" si="2"/>
        <v>4.0681875000000005</v>
      </c>
      <c r="E36">
        <f t="shared" si="4"/>
        <v>49.428478125000005</v>
      </c>
      <c r="F36">
        <f t="shared" si="3"/>
        <v>-2.8478125000006571E-2</v>
      </c>
    </row>
    <row r="37" spans="1:6" x14ac:dyDescent="0.3">
      <c r="A37">
        <v>47.6</v>
      </c>
      <c r="B37">
        <f t="shared" si="1"/>
        <v>3.9666666666666668</v>
      </c>
      <c r="C37">
        <v>20892</v>
      </c>
      <c r="D37">
        <f t="shared" si="2"/>
        <v>3.9172500000000001</v>
      </c>
      <c r="E37">
        <f t="shared" si="4"/>
        <v>47.594587500000003</v>
      </c>
      <c r="F37">
        <f t="shared" si="3"/>
        <v>5.412499999998488E-3</v>
      </c>
    </row>
    <row r="38" spans="1:6" x14ac:dyDescent="0.3">
      <c r="A38">
        <v>49.1</v>
      </c>
      <c r="B38">
        <f t="shared" si="1"/>
        <v>4.0916666666666668</v>
      </c>
      <c r="C38">
        <v>21545</v>
      </c>
      <c r="D38">
        <f t="shared" si="2"/>
        <v>4.0396875000000003</v>
      </c>
      <c r="E38">
        <f t="shared" si="4"/>
        <v>49.082203125000007</v>
      </c>
      <c r="F38">
        <f t="shared" si="3"/>
        <v>1.7796874999994827E-2</v>
      </c>
    </row>
    <row r="39" spans="1:6" x14ac:dyDescent="0.3">
      <c r="A39">
        <v>45.1</v>
      </c>
      <c r="B39">
        <f t="shared" si="1"/>
        <v>3.7583333333333333</v>
      </c>
      <c r="C39">
        <v>19864</v>
      </c>
      <c r="D39">
        <f t="shared" si="2"/>
        <v>3.7244999999999999</v>
      </c>
      <c r="E39">
        <f t="shared" si="4"/>
        <v>45.252675000000004</v>
      </c>
      <c r="F39">
        <f t="shared" si="3"/>
        <v>-0.15267500000000211</v>
      </c>
    </row>
    <row r="40" spans="1:6" x14ac:dyDescent="0.3">
      <c r="A40">
        <v>46.7</v>
      </c>
      <c r="B40">
        <f t="shared" si="1"/>
        <v>3.8916666666666671</v>
      </c>
      <c r="C40">
        <v>20495</v>
      </c>
      <c r="D40">
        <f t="shared" si="2"/>
        <v>3.8428125</v>
      </c>
      <c r="E40">
        <f t="shared" si="4"/>
        <v>46.690171875000004</v>
      </c>
      <c r="F40">
        <f t="shared" si="3"/>
        <v>9.8281249999985221E-3</v>
      </c>
    </row>
    <row r="41" spans="1:6" x14ac:dyDescent="0.3">
      <c r="A41">
        <v>48.2</v>
      </c>
      <c r="B41">
        <f t="shared" si="1"/>
        <v>4.0166666666666666</v>
      </c>
      <c r="C41">
        <v>21172</v>
      </c>
      <c r="D41">
        <f t="shared" si="2"/>
        <v>3.9697499999999999</v>
      </c>
      <c r="E41">
        <f t="shared" si="4"/>
        <v>48.232462499999997</v>
      </c>
      <c r="F41">
        <f t="shared" si="3"/>
        <v>-3.2462499999994066E-2</v>
      </c>
    </row>
    <row r="42" spans="1:6" x14ac:dyDescent="0.3">
      <c r="A42">
        <v>21.3</v>
      </c>
      <c r="B42">
        <f t="shared" si="1"/>
        <v>1.7750000000000001</v>
      </c>
      <c r="C42">
        <v>9291</v>
      </c>
      <c r="D42">
        <f t="shared" si="2"/>
        <v>1.7420625000000001</v>
      </c>
      <c r="E42">
        <f t="shared" si="4"/>
        <v>21.166059375000003</v>
      </c>
      <c r="F42">
        <f t="shared" si="3"/>
        <v>0.13394062499999748</v>
      </c>
    </row>
    <row r="43" spans="1:6" x14ac:dyDescent="0.3">
      <c r="A43">
        <v>22.1</v>
      </c>
      <c r="B43">
        <f t="shared" si="1"/>
        <v>1.8416666666666668</v>
      </c>
      <c r="C43">
        <v>9699</v>
      </c>
      <c r="D43">
        <f t="shared" si="2"/>
        <v>1.8185625000000001</v>
      </c>
      <c r="E43">
        <f t="shared" si="4"/>
        <v>22.095534375000003</v>
      </c>
      <c r="F43">
        <f t="shared" si="3"/>
        <v>4.4656249999981412E-3</v>
      </c>
    </row>
    <row r="44" spans="1:6" x14ac:dyDescent="0.3">
      <c r="A44">
        <v>22.8</v>
      </c>
      <c r="B44">
        <f t="shared" si="1"/>
        <v>1.9000000000000001</v>
      </c>
      <c r="C44">
        <v>10005</v>
      </c>
      <c r="D44">
        <f t="shared" si="2"/>
        <v>1.8759375</v>
      </c>
      <c r="E44">
        <f t="shared" si="4"/>
        <v>22.792640625000001</v>
      </c>
      <c r="F44">
        <f t="shared" si="3"/>
        <v>7.3593750000000568E-3</v>
      </c>
    </row>
    <row r="45" spans="1:6" x14ac:dyDescent="0.3">
      <c r="A45">
        <v>23.5</v>
      </c>
      <c r="B45">
        <f t="shared" si="1"/>
        <v>1.9583333333333333</v>
      </c>
      <c r="C45">
        <v>10301</v>
      </c>
      <c r="D45">
        <f t="shared" si="2"/>
        <v>1.9314375000000001</v>
      </c>
      <c r="E45">
        <f t="shared" si="4"/>
        <v>23.466965625000004</v>
      </c>
      <c r="F45">
        <f t="shared" si="3"/>
        <v>3.3034374999996174E-2</v>
      </c>
    </row>
    <row r="46" spans="1:6" x14ac:dyDescent="0.3">
      <c r="A46">
        <v>23.3</v>
      </c>
      <c r="B46">
        <f t="shared" si="1"/>
        <v>1.9416666666666667</v>
      </c>
      <c r="C46">
        <v>10240</v>
      </c>
      <c r="D46">
        <f t="shared" si="2"/>
        <v>1.92</v>
      </c>
      <c r="E46">
        <f t="shared" si="4"/>
        <v>23.327999999999999</v>
      </c>
      <c r="F46">
        <f t="shared" si="3"/>
        <v>-2.7999999999998693E-2</v>
      </c>
    </row>
    <row r="47" spans="1:6" x14ac:dyDescent="0.3">
      <c r="A47">
        <v>24</v>
      </c>
      <c r="B47">
        <f t="shared" si="1"/>
        <v>2</v>
      </c>
      <c r="C47">
        <v>10547</v>
      </c>
      <c r="D47">
        <f t="shared" si="2"/>
        <v>1.9775625000000001</v>
      </c>
      <c r="E47">
        <f t="shared" si="4"/>
        <v>24.027384375</v>
      </c>
      <c r="F47">
        <f t="shared" si="3"/>
        <v>-2.738437500000046E-2</v>
      </c>
    </row>
    <row r="48" spans="1:6" x14ac:dyDescent="0.3">
      <c r="A48">
        <v>24.5</v>
      </c>
      <c r="B48">
        <f t="shared" si="1"/>
        <v>2.0416666666666665</v>
      </c>
      <c r="C48">
        <v>10773</v>
      </c>
      <c r="D48">
        <f t="shared" si="2"/>
        <v>2.0199375000000002</v>
      </c>
      <c r="E48">
        <f t="shared" si="4"/>
        <v>24.542240625000002</v>
      </c>
      <c r="F48">
        <f t="shared" si="3"/>
        <v>-4.2240625000001586E-2</v>
      </c>
    </row>
    <row r="49" spans="1:6" x14ac:dyDescent="0.3">
      <c r="A49">
        <v>24.3</v>
      </c>
      <c r="B49">
        <f t="shared" si="1"/>
        <v>2.0249999999999999</v>
      </c>
      <c r="C49">
        <v>10683</v>
      </c>
      <c r="D49">
        <f t="shared" si="2"/>
        <v>2.0030625</v>
      </c>
      <c r="E49">
        <f t="shared" si="4"/>
        <v>24.337209375</v>
      </c>
      <c r="F49">
        <f t="shared" si="3"/>
        <v>-3.7209374999999767E-2</v>
      </c>
    </row>
    <row r="50" spans="1:6" x14ac:dyDescent="0.3">
      <c r="A50">
        <v>24.8</v>
      </c>
      <c r="B50">
        <f t="shared" si="1"/>
        <v>2.0666666666666669</v>
      </c>
      <c r="C50">
        <v>10866</v>
      </c>
      <c r="D50">
        <f t="shared" si="2"/>
        <v>2.0373749999999999</v>
      </c>
      <c r="E50">
        <f t="shared" si="4"/>
        <v>24.75410625</v>
      </c>
      <c r="F50">
        <f t="shared" si="3"/>
        <v>4.5893750000001177E-2</v>
      </c>
    </row>
    <row r="51" spans="1:6" x14ac:dyDescent="0.3">
      <c r="A51">
        <v>24.5</v>
      </c>
      <c r="B51">
        <f t="shared" si="1"/>
        <v>2.0416666666666665</v>
      </c>
      <c r="C51">
        <v>10775</v>
      </c>
      <c r="D51">
        <f t="shared" si="2"/>
        <v>2.0203125000000002</v>
      </c>
      <c r="E51">
        <f t="shared" si="4"/>
        <v>24.546796875000002</v>
      </c>
      <c r="F51">
        <f t="shared" si="3"/>
        <v>-4.6796875000001847E-2</v>
      </c>
    </row>
    <row r="52" spans="1:6" x14ac:dyDescent="0.3">
      <c r="A52">
        <v>24.7</v>
      </c>
      <c r="B52">
        <f t="shared" si="1"/>
        <v>2.0583333333333331</v>
      </c>
      <c r="C52">
        <v>10852</v>
      </c>
      <c r="D52">
        <f t="shared" si="2"/>
        <v>2.0347499999999998</v>
      </c>
      <c r="E52">
        <f t="shared" si="4"/>
        <v>24.722212499999998</v>
      </c>
      <c r="F52">
        <f t="shared" si="3"/>
        <v>-2.2212499999998414E-2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2026-05-11T10:29:28Z</dcterms:created>
  <dcterms:modified xsi:type="dcterms:W3CDTF">2026-05-11T10:39:42Z</dcterms:modified>
</cp:coreProperties>
</file>