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\Documents\GitHub\Proa-II-Electrical-Setup\Calibration Data 2\Data\Current Sensor\"/>
    </mc:Choice>
  </mc:AlternateContent>
  <xr:revisionPtr revIDLastSave="0" documentId="13_ncr:1_{088A17DE-7D12-4930-B1D1-F494FCE1DBFE}" xr6:coauthVersionLast="47" xr6:coauthVersionMax="47" xr10:uidLastSave="{00000000-0000-0000-0000-000000000000}"/>
  <bookViews>
    <workbookView xWindow="-108" yWindow="-108" windowWidth="23256" windowHeight="13896" xr2:uid="{7F91149D-4092-4C7C-BA65-B8E64B8AE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" i="1"/>
  <c r="F3" i="1"/>
  <c r="F4" i="1"/>
  <c r="F5" i="1"/>
  <c r="F6" i="1"/>
  <c r="F7" i="1"/>
  <c r="F8" i="1"/>
  <c r="F9" i="1"/>
  <c r="F10" i="1"/>
  <c r="F11" i="1"/>
  <c r="F12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5" i="1"/>
  <c r="H8" i="1"/>
  <c r="H20" i="1"/>
  <c r="C11" i="1"/>
  <c r="C3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2" i="1"/>
  <c r="C23" i="1"/>
  <c r="C2" i="1"/>
  <c r="H17" i="1" l="1"/>
  <c r="H18" i="1"/>
  <c r="H2" i="1"/>
  <c r="H4" i="1"/>
  <c r="H16" i="1"/>
  <c r="H19" i="1"/>
  <c r="H12" i="1"/>
  <c r="H13" i="1"/>
  <c r="H14" i="1"/>
  <c r="H6" i="1"/>
  <c r="H7" i="1"/>
  <c r="H15" i="1"/>
  <c r="H3" i="1"/>
  <c r="H23" i="1"/>
  <c r="H11" i="1"/>
  <c r="H22" i="1"/>
  <c r="H10" i="1"/>
  <c r="H21" i="1"/>
  <c r="H9" i="1"/>
</calcChain>
</file>

<file path=xl/sharedStrings.xml><?xml version="1.0" encoding="utf-8"?>
<sst xmlns="http://schemas.openxmlformats.org/spreadsheetml/2006/main" count="10" uniqueCount="10">
  <si>
    <t>Voltage</t>
  </si>
  <si>
    <t>Resistance</t>
  </si>
  <si>
    <t>Current</t>
  </si>
  <si>
    <t>Reading 1</t>
  </si>
  <si>
    <t>Reading 2</t>
  </si>
  <si>
    <t>Adj Reading 1</t>
  </si>
  <si>
    <t>Adj Reading 2</t>
  </si>
  <si>
    <t>Adj Diff</t>
  </si>
  <si>
    <t>Offset 1</t>
  </si>
  <si>
    <t>Offset2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</si>
</sst>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Reading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Sheet1!$C$2:$C$23</c:f>
              <c:numCache>
                <c:formatCode>General</c:formatCode>
                <c:ptCount val="22"/>
                <c:pt idx="0">
                  <c:v>0.56808510638297871</c:v>
                </c:pt>
                <c:pt idx="1">
                  <c:v>0.64648910411622273</c:v>
                </c:pt>
                <c:pt idx="2">
                  <c:v>0.85303514376996803</c:v>
                </c:pt>
                <c:pt idx="3">
                  <c:v>1.1866666666666665</c:v>
                </c:pt>
                <c:pt idx="4">
                  <c:v>1.4202127659574466</c:v>
                </c:pt>
                <c:pt idx="5">
                  <c:v>1.8095238095238098</c:v>
                </c:pt>
                <c:pt idx="6">
                  <c:v>2.9230769230769234</c:v>
                </c:pt>
                <c:pt idx="7">
                  <c:v>5.5208333333333339</c:v>
                </c:pt>
                <c:pt idx="8">
                  <c:v>11.434782608695654</c:v>
                </c:pt>
                <c:pt idx="9">
                  <c:v>11.434782608695654</c:v>
                </c:pt>
                <c:pt idx="10">
                  <c:v>3.7323943661971835</c:v>
                </c:pt>
                <c:pt idx="11">
                  <c:v>22.909090909090907</c:v>
                </c:pt>
                <c:pt idx="12">
                  <c:v>24.8</c:v>
                </c:pt>
                <c:pt idx="13">
                  <c:v>25.1</c:v>
                </c:pt>
                <c:pt idx="14">
                  <c:v>19.46153846153846</c:v>
                </c:pt>
                <c:pt idx="15">
                  <c:v>22.545454545454543</c:v>
                </c:pt>
                <c:pt idx="16">
                  <c:v>30.625</c:v>
                </c:pt>
                <c:pt idx="17">
                  <c:v>30.375</c:v>
                </c:pt>
                <c:pt idx="18">
                  <c:v>30.625</c:v>
                </c:pt>
                <c:pt idx="19">
                  <c:v>25.1</c:v>
                </c:pt>
                <c:pt idx="20">
                  <c:v>25.3</c:v>
                </c:pt>
                <c:pt idx="21">
                  <c:v>23.090909090909086</c:v>
                </c:pt>
              </c:numCache>
            </c:numRef>
          </c:xVal>
          <c:yVal>
            <c:numRef>
              <c:f>Sheet1!$D$2:$D$23</c:f>
              <c:numCache>
                <c:formatCode>General</c:formatCode>
                <c:ptCount val="22"/>
                <c:pt idx="0">
                  <c:v>132</c:v>
                </c:pt>
                <c:pt idx="1">
                  <c:v>138</c:v>
                </c:pt>
                <c:pt idx="2">
                  <c:v>199</c:v>
                </c:pt>
                <c:pt idx="3">
                  <c:v>291</c:v>
                </c:pt>
                <c:pt idx="4">
                  <c:v>360</c:v>
                </c:pt>
                <c:pt idx="5">
                  <c:v>452</c:v>
                </c:pt>
                <c:pt idx="6">
                  <c:v>733</c:v>
                </c:pt>
                <c:pt idx="7">
                  <c:v>1386</c:v>
                </c:pt>
                <c:pt idx="8">
                  <c:v>2359</c:v>
                </c:pt>
                <c:pt idx="9">
                  <c:v>2326</c:v>
                </c:pt>
                <c:pt idx="10">
                  <c:v>972</c:v>
                </c:pt>
                <c:pt idx="11">
                  <c:v>6062</c:v>
                </c:pt>
                <c:pt idx="12">
                  <c:v>6846</c:v>
                </c:pt>
                <c:pt idx="13">
                  <c:v>7610</c:v>
                </c:pt>
                <c:pt idx="14">
                  <c:v>6160</c:v>
                </c:pt>
                <c:pt idx="15">
                  <c:v>8584</c:v>
                </c:pt>
                <c:pt idx="16">
                  <c:v>10995</c:v>
                </c:pt>
                <c:pt idx="17">
                  <c:v>11514</c:v>
                </c:pt>
                <c:pt idx="18">
                  <c:v>11397</c:v>
                </c:pt>
                <c:pt idx="19">
                  <c:v>7392</c:v>
                </c:pt>
                <c:pt idx="20">
                  <c:v>6535</c:v>
                </c:pt>
                <c:pt idx="21">
                  <c:v>6039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5F-41D0-9057-485E7109F1F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Reading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Sheet1!$C$2:$C$23</c:f>
              <c:numCache>
                <c:formatCode>General</c:formatCode>
                <c:ptCount val="22"/>
                <c:pt idx="0">
                  <c:v>0.56808510638297871</c:v>
                </c:pt>
                <c:pt idx="1">
                  <c:v>0.64648910411622273</c:v>
                </c:pt>
                <c:pt idx="2">
                  <c:v>0.85303514376996803</c:v>
                </c:pt>
                <c:pt idx="3">
                  <c:v>1.1866666666666665</c:v>
                </c:pt>
                <c:pt idx="4">
                  <c:v>1.4202127659574466</c:v>
                </c:pt>
                <c:pt idx="5">
                  <c:v>1.8095238095238098</c:v>
                </c:pt>
                <c:pt idx="6">
                  <c:v>2.9230769230769234</c:v>
                </c:pt>
                <c:pt idx="7">
                  <c:v>5.5208333333333339</c:v>
                </c:pt>
                <c:pt idx="8">
                  <c:v>11.434782608695654</c:v>
                </c:pt>
                <c:pt idx="9">
                  <c:v>11.434782608695654</c:v>
                </c:pt>
                <c:pt idx="10">
                  <c:v>3.7323943661971835</c:v>
                </c:pt>
                <c:pt idx="11">
                  <c:v>22.909090909090907</c:v>
                </c:pt>
                <c:pt idx="12">
                  <c:v>24.8</c:v>
                </c:pt>
                <c:pt idx="13">
                  <c:v>25.1</c:v>
                </c:pt>
                <c:pt idx="14">
                  <c:v>19.46153846153846</c:v>
                </c:pt>
                <c:pt idx="15">
                  <c:v>22.545454545454543</c:v>
                </c:pt>
                <c:pt idx="16">
                  <c:v>30.625</c:v>
                </c:pt>
                <c:pt idx="17">
                  <c:v>30.375</c:v>
                </c:pt>
                <c:pt idx="18">
                  <c:v>30.625</c:v>
                </c:pt>
                <c:pt idx="19">
                  <c:v>25.1</c:v>
                </c:pt>
                <c:pt idx="20">
                  <c:v>25.3</c:v>
                </c:pt>
                <c:pt idx="21">
                  <c:v>23.090909090909086</c:v>
                </c:pt>
              </c:numCache>
            </c:numRef>
          </c:xVal>
          <c:yVal>
            <c:numRef>
              <c:f>Sheet1!$E$2:$E$23</c:f>
              <c:numCache>
                <c:formatCode>General</c:formatCode>
                <c:ptCount val="22"/>
                <c:pt idx="0">
                  <c:v>188</c:v>
                </c:pt>
                <c:pt idx="1">
                  <c:v>219</c:v>
                </c:pt>
                <c:pt idx="2">
                  <c:v>270</c:v>
                </c:pt>
                <c:pt idx="3">
                  <c:v>385</c:v>
                </c:pt>
                <c:pt idx="4">
                  <c:v>411</c:v>
                </c:pt>
                <c:pt idx="5">
                  <c:v>516</c:v>
                </c:pt>
                <c:pt idx="6">
                  <c:v>790</c:v>
                </c:pt>
                <c:pt idx="7">
                  <c:v>1442</c:v>
                </c:pt>
                <c:pt idx="8">
                  <c:v>2431</c:v>
                </c:pt>
                <c:pt idx="9">
                  <c:v>2390</c:v>
                </c:pt>
                <c:pt idx="10">
                  <c:v>1024</c:v>
                </c:pt>
                <c:pt idx="11">
                  <c:v>6067</c:v>
                </c:pt>
                <c:pt idx="12">
                  <c:v>6999</c:v>
                </c:pt>
                <c:pt idx="13">
                  <c:v>7777</c:v>
                </c:pt>
                <c:pt idx="14">
                  <c:v>6305</c:v>
                </c:pt>
                <c:pt idx="15">
                  <c:v>8761</c:v>
                </c:pt>
                <c:pt idx="16">
                  <c:v>11197</c:v>
                </c:pt>
                <c:pt idx="17">
                  <c:v>11735</c:v>
                </c:pt>
                <c:pt idx="18">
                  <c:v>11609</c:v>
                </c:pt>
                <c:pt idx="19">
                  <c:v>7548</c:v>
                </c:pt>
                <c:pt idx="20">
                  <c:v>6696</c:v>
                </c:pt>
                <c:pt idx="21">
                  <c:v>6188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5F-41D0-9057-485E7109F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276512"/>
        <c:axId val="1623276032"/>
      </c:scatterChart>
      <c:valAx>
        <c:axId val="162327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76032"/>
        <c:crosses val="autoZero"/>
        <c:crossBetween val="midCat"/>
      </c:valAx>
      <c:valAx>
        <c:axId val="16232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7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246422</xdr:colOff>
      <xdr:row>5</xdr:row>
      <xdr:rowOff>68134</xdr:rowOff>
    </xdr:from>
    <xdr:to>
      <xdr:col>15</xdr:col>
      <xdr:colOff>557909</xdr:colOff>
      <xdr:row>20</xdr:row>
      <xdr:rowOff>23529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66828D-3B14-E8D7-CAB6-03073512A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469B5-0B6D-4D3B-B080-E5662D42E1CD}" name="Table1" displayName="Table1" ref="A1:H23" totalsRowShown="0">
  <autoFilter ref="A1:H23" xr:uid="{38D469B5-0B6D-4D3B-B080-E5662D42E1CD}"/>
  <tableColumns count="8">
    <tableColumn id="1" xr3:uid="{888533F2-1C82-49A5-9C0A-BD8A4CBC6FB3}" name="Voltage"/>
    <tableColumn id="2" xr3:uid="{68A32FAF-D761-404B-9009-61B2D7BFEE1E}" name="Resistance"/>
    <tableColumn id="5" xr3:uid="{56981647-FBCF-4F26-B740-EA72D44C23CC}" name="Current">
      <calculatedColumnFormula>IF(B2&lt;&gt;"", A2/B2, "")</calculatedColumnFormula>
    </tableColumn>
    <tableColumn id="3" xr3:uid="{0283AADE-BA2F-442B-B8E5-F092582FF4EA}" name="Reading 1"/>
    <tableColumn id="4" xr3:uid="{E6F2CD28-07B6-4AB7-94DE-0FB8E87F71E8}" name="Reading 2"/>
    <tableColumn id="7" xr3:uid="{C6593D81-8FD9-4F5B-87BB-714B20E88497}" name="Adj Reading 1" dataDxfId="0">
      <calculatedColumnFormula>D2-$J$2</calculatedColumnFormula>
    </tableColumn>
    <tableColumn id="6" xr3:uid="{ABFE0B41-1193-4764-9715-0477AA224031}" name="Adj Reading 2" dataDxfId="1">
      <calculatedColumnFormula>E2-$K$2</calculatedColumnFormula>
    </tableColumn>
    <tableColumn id="8" xr3:uid="{BCC43BDA-6C1E-446F-A0C6-DFD8EB4D4FB4}" name="Adj Diff" dataDxfId="2">
      <calculatedColumnFormula>Table1[[#This Row],[Adj Reading 2]]-Table1[[#This Row],[Adj Reading 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19F4-FF25-45F5-A541-EE94E4F6B94E}">
  <dimension ref="A1:K23"/>
  <sheetViews>
    <sheetView tabSelected="1" topLeftCell="E6" zoomScale="126" zoomScaleNormal="126" workbookViewId="0">
      <selection activeCell="A17" sqref="A17:XFD17"/>
    </sheetView>
  </sheetViews>
  <sheetFormatPr defaultRowHeight="14.4" x14ac:dyDescent="0.3"/>
  <cols>
    <col min="2" max="2" width="11.88671875" customWidth="1"/>
    <col min="3" max="3" width="9" customWidth="1"/>
    <col min="4" max="5" width="10.77734375" customWidth="1"/>
    <col min="6" max="7" width="14.33203125" bestFit="1" customWidth="1"/>
    <col min="8" max="8" width="14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</row>
    <row r="2" spans="1:11" x14ac:dyDescent="0.3">
      <c r="A2">
        <v>26.7</v>
      </c>
      <c r="B2">
        <v>47</v>
      </c>
      <c r="C2">
        <f>IF(B2&lt;&gt;"", A2/B2, "")</f>
        <v>0.56808510638297871</v>
      </c>
      <c r="D2">
        <v>132</v>
      </c>
      <c r="E2">
        <v>188</v>
      </c>
      <c r="F2">
        <f t="shared" ref="F2:F23" si="0">D2-$J$2</f>
        <v>152</v>
      </c>
      <c r="G2">
        <f t="shared" ref="G2:G23" si="1">E2-$K$2</f>
        <v>131</v>
      </c>
      <c r="H2">
        <f>Table1[[#This Row],[Adj Reading 2]]-Table1[[#This Row],[Adj Reading 1]]</f>
        <v>-21</v>
      </c>
      <c r="J2">
        <v>-20</v>
      </c>
      <c r="K2">
        <v>57</v>
      </c>
    </row>
    <row r="3" spans="1:11" x14ac:dyDescent="0.3">
      <c r="A3">
        <v>26.7</v>
      </c>
      <c r="B3">
        <v>41.3</v>
      </c>
      <c r="C3">
        <f>IF(B3&lt;&gt;"", A3/B3, "")</f>
        <v>0.64648910411622273</v>
      </c>
      <c r="D3">
        <v>138</v>
      </c>
      <c r="E3">
        <v>219</v>
      </c>
      <c r="F3">
        <f t="shared" si="0"/>
        <v>158</v>
      </c>
      <c r="G3">
        <f t="shared" si="1"/>
        <v>162</v>
      </c>
      <c r="H3">
        <f>Table1[[#This Row],[Adj Reading 2]]-Table1[[#This Row],[Adj Reading 1]]</f>
        <v>4</v>
      </c>
    </row>
    <row r="4" spans="1:11" x14ac:dyDescent="0.3">
      <c r="A4">
        <v>26.7</v>
      </c>
      <c r="B4">
        <v>31.3</v>
      </c>
      <c r="C4">
        <f>IF(B4&lt;&gt;"", A4/B4, "")</f>
        <v>0.85303514376996803</v>
      </c>
      <c r="D4">
        <v>199</v>
      </c>
      <c r="E4">
        <v>270</v>
      </c>
      <c r="F4">
        <f t="shared" si="0"/>
        <v>219</v>
      </c>
      <c r="G4">
        <f t="shared" si="1"/>
        <v>213</v>
      </c>
      <c r="H4">
        <f>Table1[[#This Row],[Adj Reading 2]]-Table1[[#This Row],[Adj Reading 1]]</f>
        <v>-6</v>
      </c>
    </row>
    <row r="5" spans="1:11" x14ac:dyDescent="0.3">
      <c r="A5">
        <v>26.7</v>
      </c>
      <c r="B5">
        <v>22.5</v>
      </c>
      <c r="C5">
        <f>IF(B5&lt;&gt;"", A5/B5, "")</f>
        <v>1.1866666666666665</v>
      </c>
      <c r="D5">
        <v>291</v>
      </c>
      <c r="E5">
        <v>385</v>
      </c>
      <c r="F5">
        <f t="shared" si="0"/>
        <v>311</v>
      </c>
      <c r="G5">
        <f t="shared" si="1"/>
        <v>328</v>
      </c>
      <c r="H5">
        <f>Table1[[#This Row],[Adj Reading 2]]-Table1[[#This Row],[Adj Reading 1]]</f>
        <v>17</v>
      </c>
    </row>
    <row r="6" spans="1:11" x14ac:dyDescent="0.3">
      <c r="A6">
        <v>26.7</v>
      </c>
      <c r="B6">
        <v>18.8</v>
      </c>
      <c r="C6">
        <f>IF(B6&lt;&gt;"", A6/B6, "")</f>
        <v>1.4202127659574466</v>
      </c>
      <c r="D6">
        <v>360</v>
      </c>
      <c r="E6">
        <v>411</v>
      </c>
      <c r="F6">
        <f t="shared" si="0"/>
        <v>380</v>
      </c>
      <c r="G6">
        <f t="shared" si="1"/>
        <v>354</v>
      </c>
      <c r="H6">
        <f>Table1[[#This Row],[Adj Reading 2]]-Table1[[#This Row],[Adj Reading 1]]</f>
        <v>-26</v>
      </c>
    </row>
    <row r="7" spans="1:11" x14ac:dyDescent="0.3">
      <c r="A7">
        <v>26.6</v>
      </c>
      <c r="B7">
        <v>14.7</v>
      </c>
      <c r="C7">
        <f>IF(B7&lt;&gt;"", A7/B7, "")</f>
        <v>1.8095238095238098</v>
      </c>
      <c r="D7">
        <v>452</v>
      </c>
      <c r="E7">
        <v>516</v>
      </c>
      <c r="F7">
        <f t="shared" si="0"/>
        <v>472</v>
      </c>
      <c r="G7">
        <f t="shared" si="1"/>
        <v>459</v>
      </c>
      <c r="H7">
        <f>Table1[[#This Row],[Adj Reading 2]]-Table1[[#This Row],[Adj Reading 1]]</f>
        <v>-13</v>
      </c>
    </row>
    <row r="8" spans="1:11" x14ac:dyDescent="0.3">
      <c r="A8">
        <v>26.6</v>
      </c>
      <c r="B8">
        <v>9.1</v>
      </c>
      <c r="C8">
        <f>IF(B8&lt;&gt;"", A8/B8, "")</f>
        <v>2.9230769230769234</v>
      </c>
      <c r="D8">
        <v>733</v>
      </c>
      <c r="E8">
        <v>790</v>
      </c>
      <c r="F8">
        <f t="shared" si="0"/>
        <v>753</v>
      </c>
      <c r="G8">
        <f t="shared" si="1"/>
        <v>733</v>
      </c>
      <c r="H8">
        <f>Table1[[#This Row],[Adj Reading 2]]-Table1[[#This Row],[Adj Reading 1]]</f>
        <v>-20</v>
      </c>
    </row>
    <row r="9" spans="1:11" x14ac:dyDescent="0.3">
      <c r="A9">
        <v>26.5</v>
      </c>
      <c r="B9">
        <v>4.8</v>
      </c>
      <c r="C9">
        <f>IF(B9&lt;&gt;"", A9/B9, "")</f>
        <v>5.5208333333333339</v>
      </c>
      <c r="D9">
        <v>1386</v>
      </c>
      <c r="E9">
        <v>1442</v>
      </c>
      <c r="F9">
        <f t="shared" si="0"/>
        <v>1406</v>
      </c>
      <c r="G9">
        <f t="shared" si="1"/>
        <v>1385</v>
      </c>
      <c r="H9">
        <f>Table1[[#This Row],[Adj Reading 2]]-Table1[[#This Row],[Adj Reading 1]]</f>
        <v>-21</v>
      </c>
    </row>
    <row r="10" spans="1:11" x14ac:dyDescent="0.3">
      <c r="A10">
        <v>26.3</v>
      </c>
      <c r="B10">
        <v>2.2999999999999998</v>
      </c>
      <c r="C10">
        <f>IF(B10&lt;&gt;"", A10/B10, "")</f>
        <v>11.434782608695654</v>
      </c>
      <c r="D10">
        <v>2359</v>
      </c>
      <c r="E10">
        <v>2431</v>
      </c>
      <c r="F10">
        <f t="shared" si="0"/>
        <v>2379</v>
      </c>
      <c r="G10">
        <f t="shared" si="1"/>
        <v>2374</v>
      </c>
      <c r="H10">
        <f>Table1[[#This Row],[Adj Reading 2]]-Table1[[#This Row],[Adj Reading 1]]</f>
        <v>-5</v>
      </c>
    </row>
    <row r="11" spans="1:11" x14ac:dyDescent="0.3">
      <c r="A11">
        <v>26.3</v>
      </c>
      <c r="B11">
        <v>2.2999999999999998</v>
      </c>
      <c r="C11">
        <f>IF(B11&lt;&gt;"", A11/B11, "")</f>
        <v>11.434782608695654</v>
      </c>
      <c r="D11">
        <v>2326</v>
      </c>
      <c r="E11">
        <v>2390</v>
      </c>
      <c r="F11">
        <f t="shared" si="0"/>
        <v>2346</v>
      </c>
      <c r="G11">
        <f t="shared" si="1"/>
        <v>2333</v>
      </c>
      <c r="H11">
        <f>Table1[[#This Row],[Adj Reading 2]]-Table1[[#This Row],[Adj Reading 1]]</f>
        <v>-13</v>
      </c>
    </row>
    <row r="12" spans="1:11" x14ac:dyDescent="0.3">
      <c r="A12">
        <v>26.5</v>
      </c>
      <c r="B12">
        <v>7.1</v>
      </c>
      <c r="C12">
        <f>IF(B12&lt;&gt;"", A12/B12, "")</f>
        <v>3.7323943661971835</v>
      </c>
      <c r="D12">
        <v>972</v>
      </c>
      <c r="E12">
        <v>1024</v>
      </c>
      <c r="F12">
        <f t="shared" si="0"/>
        <v>992</v>
      </c>
      <c r="G12">
        <f t="shared" si="1"/>
        <v>967</v>
      </c>
      <c r="H12">
        <f>Table1[[#This Row],[Adj Reading 2]]-Table1[[#This Row],[Adj Reading 1]]</f>
        <v>-25</v>
      </c>
    </row>
    <row r="13" spans="1:11" x14ac:dyDescent="0.3">
      <c r="A13">
        <v>25.2</v>
      </c>
      <c r="B13">
        <v>1.1000000000000001</v>
      </c>
      <c r="C13">
        <f>IF(B13&lt;&gt;"", A13/B13, "")</f>
        <v>22.909090909090907</v>
      </c>
      <c r="D13">
        <v>6062</v>
      </c>
      <c r="E13">
        <v>6067</v>
      </c>
      <c r="F13">
        <f t="shared" si="0"/>
        <v>6082</v>
      </c>
      <c r="G13">
        <f t="shared" si="1"/>
        <v>6010</v>
      </c>
      <c r="H13">
        <f>Table1[[#This Row],[Adj Reading 2]]-Table1[[#This Row],[Adj Reading 1]]</f>
        <v>-72</v>
      </c>
    </row>
    <row r="14" spans="1:11" x14ac:dyDescent="0.3">
      <c r="A14">
        <v>24.8</v>
      </c>
      <c r="B14">
        <v>1</v>
      </c>
      <c r="C14">
        <f>IF(B14&lt;&gt;"", A14/B14, "")</f>
        <v>24.8</v>
      </c>
      <c r="D14">
        <v>6846</v>
      </c>
      <c r="E14">
        <v>6999</v>
      </c>
      <c r="F14">
        <f t="shared" si="0"/>
        <v>6866</v>
      </c>
      <c r="G14">
        <f t="shared" si="1"/>
        <v>6942</v>
      </c>
      <c r="H14">
        <f>Table1[[#This Row],[Adj Reading 2]]-Table1[[#This Row],[Adj Reading 1]]</f>
        <v>76</v>
      </c>
    </row>
    <row r="15" spans="1:11" x14ac:dyDescent="0.3">
      <c r="A15">
        <v>25.1</v>
      </c>
      <c r="B15">
        <v>1</v>
      </c>
      <c r="C15">
        <f>IF(B15&lt;&gt;"", A15/B15, "")</f>
        <v>25.1</v>
      </c>
      <c r="D15">
        <v>7610</v>
      </c>
      <c r="E15">
        <v>7777</v>
      </c>
      <c r="F15">
        <f t="shared" si="0"/>
        <v>7630</v>
      </c>
      <c r="G15">
        <f t="shared" si="1"/>
        <v>7720</v>
      </c>
      <c r="H15">
        <f>Table1[[#This Row],[Adj Reading 2]]-Table1[[#This Row],[Adj Reading 1]]</f>
        <v>90</v>
      </c>
    </row>
    <row r="16" spans="1:11" x14ac:dyDescent="0.3">
      <c r="A16">
        <v>25.3</v>
      </c>
      <c r="B16">
        <v>1.3</v>
      </c>
      <c r="C16">
        <f>IF(B16&lt;&gt;"", A16/B16, "")</f>
        <v>19.46153846153846</v>
      </c>
      <c r="D16">
        <v>6160</v>
      </c>
      <c r="E16">
        <v>6305</v>
      </c>
      <c r="F16">
        <f t="shared" si="0"/>
        <v>6180</v>
      </c>
      <c r="G16">
        <f t="shared" si="1"/>
        <v>6248</v>
      </c>
      <c r="H16">
        <f>Table1[[#This Row],[Adj Reading 2]]-Table1[[#This Row],[Adj Reading 1]]</f>
        <v>68</v>
      </c>
    </row>
    <row r="17" spans="1:8" x14ac:dyDescent="0.3">
      <c r="A17">
        <v>24.8</v>
      </c>
      <c r="B17">
        <v>1.1000000000000001</v>
      </c>
      <c r="C17">
        <f>IF(B17&lt;&gt;"", A17/B17, "")</f>
        <v>22.545454545454543</v>
      </c>
      <c r="D17">
        <v>8584</v>
      </c>
      <c r="E17">
        <v>8761</v>
      </c>
      <c r="F17">
        <f>D17-$J$2</f>
        <v>8604</v>
      </c>
      <c r="G17">
        <f>E17-$K$2</f>
        <v>8704</v>
      </c>
      <c r="H17">
        <f>Table1[[#This Row],[Adj Reading 2]]-Table1[[#This Row],[Adj Reading 1]]</f>
        <v>100</v>
      </c>
    </row>
    <row r="18" spans="1:8" x14ac:dyDescent="0.3">
      <c r="A18">
        <v>24.5</v>
      </c>
      <c r="B18">
        <v>0.8</v>
      </c>
      <c r="C18">
        <f>IF(B18&lt;&gt;"", A18/B18, "")</f>
        <v>30.625</v>
      </c>
      <c r="D18">
        <v>10995</v>
      </c>
      <c r="E18">
        <v>11197</v>
      </c>
      <c r="F18">
        <f t="shared" si="0"/>
        <v>11015</v>
      </c>
      <c r="G18">
        <f t="shared" si="1"/>
        <v>11140</v>
      </c>
      <c r="H18">
        <f>Table1[[#This Row],[Adj Reading 2]]-Table1[[#This Row],[Adj Reading 1]]</f>
        <v>125</v>
      </c>
    </row>
    <row r="19" spans="1:8" x14ac:dyDescent="0.3">
      <c r="A19">
        <v>24.3</v>
      </c>
      <c r="B19">
        <v>0.8</v>
      </c>
      <c r="C19">
        <f>IF(B19&lt;&gt;"", A19/B19, "")</f>
        <v>30.375</v>
      </c>
      <c r="D19">
        <v>11514</v>
      </c>
      <c r="E19">
        <v>11735</v>
      </c>
      <c r="F19">
        <f t="shared" si="0"/>
        <v>11534</v>
      </c>
      <c r="G19">
        <f t="shared" si="1"/>
        <v>11678</v>
      </c>
      <c r="H19">
        <f>Table1[[#This Row],[Adj Reading 2]]-Table1[[#This Row],[Adj Reading 1]]</f>
        <v>144</v>
      </c>
    </row>
    <row r="20" spans="1:8" x14ac:dyDescent="0.3">
      <c r="A20">
        <v>24.5</v>
      </c>
      <c r="B20">
        <v>0.8</v>
      </c>
      <c r="C20">
        <f>IF(B20&lt;&gt;"", A20/B20, "")</f>
        <v>30.625</v>
      </c>
      <c r="D20">
        <v>11397</v>
      </c>
      <c r="E20">
        <v>11609</v>
      </c>
      <c r="F20">
        <f t="shared" si="0"/>
        <v>11417</v>
      </c>
      <c r="G20">
        <f t="shared" si="1"/>
        <v>11552</v>
      </c>
      <c r="H20">
        <f>Table1[[#This Row],[Adj Reading 2]]-Table1[[#This Row],[Adj Reading 1]]</f>
        <v>135</v>
      </c>
    </row>
    <row r="21" spans="1:8" x14ac:dyDescent="0.3">
      <c r="A21">
        <v>25.1</v>
      </c>
      <c r="B21">
        <v>1</v>
      </c>
      <c r="C21">
        <f>IF(B21&lt;&gt;"", A21/B21, "")</f>
        <v>25.1</v>
      </c>
      <c r="D21">
        <v>7392</v>
      </c>
      <c r="E21">
        <v>7548</v>
      </c>
      <c r="F21">
        <f t="shared" si="0"/>
        <v>7412</v>
      </c>
      <c r="G21">
        <f t="shared" si="1"/>
        <v>7491</v>
      </c>
      <c r="H21">
        <f>Table1[[#This Row],[Adj Reading 2]]-Table1[[#This Row],[Adj Reading 1]]</f>
        <v>79</v>
      </c>
    </row>
    <row r="22" spans="1:8" x14ac:dyDescent="0.3">
      <c r="A22">
        <v>25.3</v>
      </c>
      <c r="B22">
        <v>1</v>
      </c>
      <c r="C22">
        <f>IF(B22&lt;&gt;"", A22/B22, "")</f>
        <v>25.3</v>
      </c>
      <c r="D22">
        <v>6535</v>
      </c>
      <c r="E22">
        <v>6696</v>
      </c>
      <c r="F22">
        <f>D22-$J$2</f>
        <v>6555</v>
      </c>
      <c r="G22">
        <f>E22-$K$2</f>
        <v>6639</v>
      </c>
      <c r="H22">
        <f>Table1[[#This Row],[Adj Reading 2]]-Table1[[#This Row],[Adj Reading 1]]</f>
        <v>84</v>
      </c>
    </row>
    <row r="23" spans="1:8" x14ac:dyDescent="0.3">
      <c r="A23">
        <v>25.4</v>
      </c>
      <c r="B23">
        <v>1.1000000000000001</v>
      </c>
      <c r="C23">
        <f>IF(B23&lt;&gt;"", A23/B23, "")</f>
        <v>23.090909090909086</v>
      </c>
      <c r="D23">
        <v>6039</v>
      </c>
      <c r="E23">
        <v>6188</v>
      </c>
      <c r="F23">
        <f t="shared" si="0"/>
        <v>6059</v>
      </c>
      <c r="G23">
        <f t="shared" si="1"/>
        <v>6131</v>
      </c>
      <c r="H23">
        <f>Table1[[#This Row],[Adj Reading 2]]-Table1[[#This Row],[Adj Reading 1]]</f>
        <v>72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2026-05-08T08:30:42Z</dcterms:created>
  <dcterms:modified xsi:type="dcterms:W3CDTF">2026-05-11T10:55:58Z</dcterms:modified>
</cp:coreProperties>
</file>