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roa-II-Electrical-Setup\Calibration Data\"/>
    </mc:Choice>
  </mc:AlternateContent>
  <xr:revisionPtr revIDLastSave="0" documentId="13_ncr:1_{7726C71D-8AE4-4810-A561-8B3EA959F993}" xr6:coauthVersionLast="47" xr6:coauthVersionMax="47" xr10:uidLastSave="{00000000-0000-0000-0000-000000000000}"/>
  <bookViews>
    <workbookView xWindow="15264" yWindow="0" windowWidth="15552" windowHeight="16656" firstSheet="1" activeTab="1" xr2:uid="{7531ECA2-DA00-4F76-ABDC-FCF590B5A240}"/>
  </bookViews>
  <sheets>
    <sheet name="HE Current Sensor" sheetId="1" r:id="rId1"/>
    <sheet name="Voltage Divid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M35" i="1" s="1"/>
  <c r="L34" i="1"/>
  <c r="L33" i="1"/>
  <c r="L32" i="1"/>
  <c r="L31" i="1"/>
  <c r="L30" i="1"/>
  <c r="L29" i="1"/>
  <c r="L28" i="1"/>
  <c r="L27" i="1"/>
  <c r="L26" i="1"/>
  <c r="L25" i="1"/>
  <c r="L24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4" i="1"/>
  <c r="M33" i="1"/>
  <c r="M32" i="1"/>
  <c r="M31" i="1"/>
  <c r="M30" i="1"/>
  <c r="M29" i="1"/>
  <c r="M28" i="1"/>
  <c r="M27" i="1"/>
  <c r="M26" i="1"/>
  <c r="M25" i="1"/>
  <c r="M24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P35" i="1" s="1"/>
  <c r="O34" i="1"/>
  <c r="O33" i="1"/>
  <c r="O32" i="1"/>
  <c r="O31" i="1"/>
  <c r="O30" i="1"/>
  <c r="O29" i="1"/>
  <c r="O28" i="1"/>
  <c r="O27" i="1"/>
  <c r="O26" i="1"/>
  <c r="P26" i="1" s="1"/>
  <c r="O25" i="1"/>
  <c r="O24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4" i="1"/>
  <c r="P33" i="1"/>
  <c r="P32" i="1"/>
  <c r="P31" i="1"/>
  <c r="P30" i="1"/>
  <c r="P29" i="1"/>
  <c r="P28" i="1"/>
  <c r="P27" i="1"/>
  <c r="P25" i="1"/>
  <c r="P24" i="1"/>
  <c r="P23" i="1"/>
  <c r="O23" i="1"/>
  <c r="M23" i="1"/>
  <c r="L23" i="1"/>
  <c r="E14" i="1"/>
  <c r="D14" i="1"/>
  <c r="F14" i="1"/>
  <c r="F2" i="1"/>
  <c r="F3" i="1"/>
  <c r="F4" i="1"/>
  <c r="F5" i="1"/>
  <c r="F6" i="1"/>
  <c r="F7" i="1"/>
  <c r="F8" i="1"/>
  <c r="F9" i="1"/>
  <c r="F10" i="1"/>
  <c r="F11" i="1"/>
  <c r="F12" i="1"/>
  <c r="F13" i="1"/>
  <c r="F13" i="2"/>
  <c r="Q9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J26" i="2"/>
  <c r="G26" i="2"/>
  <c r="F26" i="2"/>
  <c r="Q5" i="2"/>
  <c r="C25" i="1"/>
  <c r="C26" i="1"/>
  <c r="C3" i="1"/>
  <c r="C4" i="1"/>
  <c r="C5" i="1"/>
  <c r="C6" i="1"/>
  <c r="C7" i="1"/>
  <c r="C8" i="1"/>
  <c r="C9" i="1"/>
  <c r="C10" i="1"/>
  <c r="C11" i="1"/>
  <c r="C12" i="1"/>
  <c r="C2" i="1"/>
  <c r="B3" i="2" l="1"/>
  <c r="B4" i="2"/>
  <c r="B5" i="2"/>
  <c r="B6" i="2"/>
  <c r="B7" i="2"/>
  <c r="B8" i="2"/>
  <c r="B9" i="2"/>
  <c r="B10" i="2"/>
  <c r="B11" i="2"/>
  <c r="B13" i="2"/>
  <c r="B15" i="2"/>
  <c r="B16" i="2"/>
  <c r="E2" i="2"/>
  <c r="F2" i="2" s="1"/>
  <c r="E3" i="2"/>
  <c r="F3" i="2" s="1"/>
  <c r="E4" i="2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E14" i="2"/>
  <c r="F14" i="2" s="1"/>
  <c r="E15" i="2"/>
  <c r="F15" i="2" s="1"/>
  <c r="E16" i="2"/>
  <c r="F16" i="2" s="1"/>
  <c r="B2" i="2"/>
  <c r="B12" i="2"/>
  <c r="B14" i="2"/>
  <c r="H26" i="2"/>
  <c r="H2" i="2"/>
  <c r="I2" i="2" s="1"/>
  <c r="H7" i="2"/>
  <c r="I7" i="2" s="1"/>
  <c r="H11" i="2"/>
  <c r="I11" i="2" s="1"/>
  <c r="H14" i="2"/>
  <c r="I14" i="2" s="1"/>
  <c r="H4" i="2"/>
  <c r="I4" i="2" s="1"/>
  <c r="H6" i="2"/>
  <c r="I6" i="2" s="1"/>
  <c r="H9" i="2"/>
  <c r="I9" i="2" s="1"/>
  <c r="H13" i="2"/>
  <c r="I13" i="2" s="1"/>
  <c r="H16" i="2"/>
  <c r="I16" i="2" s="1"/>
  <c r="H3" i="2"/>
  <c r="I3" i="2" s="1"/>
  <c r="H8" i="2"/>
  <c r="I8" i="2" s="1"/>
  <c r="H10" i="2"/>
  <c r="I10" i="2" s="1"/>
  <c r="H15" i="2"/>
  <c r="I15" i="2" s="1"/>
  <c r="H5" i="2"/>
  <c r="I5" i="2" s="1"/>
  <c r="H12" i="2"/>
  <c r="I12" i="2" s="1"/>
  <c r="E26" i="2"/>
  <c r="B26" i="2"/>
  <c r="C26" i="2" s="1"/>
  <c r="K26" i="2" s="1"/>
  <c r="L26" i="2" l="1"/>
  <c r="I26" i="2"/>
  <c r="M26" i="2" s="1"/>
  <c r="J3" i="2"/>
  <c r="C3" i="2"/>
  <c r="K3" i="2" s="1"/>
  <c r="J4" i="2"/>
  <c r="C4" i="2"/>
  <c r="K4" i="2" s="1"/>
  <c r="J5" i="2"/>
  <c r="C5" i="2"/>
  <c r="K5" i="2" s="1"/>
  <c r="J6" i="2"/>
  <c r="C6" i="2"/>
  <c r="K6" i="2" s="1"/>
  <c r="J7" i="2"/>
  <c r="C7" i="2"/>
  <c r="K7" i="2" s="1"/>
  <c r="J8" i="2"/>
  <c r="C8" i="2"/>
  <c r="K8" i="2" s="1"/>
  <c r="J9" i="2"/>
  <c r="C9" i="2"/>
  <c r="K9" i="2" s="1"/>
  <c r="J10" i="2"/>
  <c r="C10" i="2"/>
  <c r="K10" i="2" s="1"/>
  <c r="J11" i="2"/>
  <c r="C11" i="2"/>
  <c r="K11" i="2" s="1"/>
  <c r="J13" i="2"/>
  <c r="C13" i="2"/>
  <c r="K13" i="2" s="1"/>
  <c r="J15" i="2"/>
  <c r="C15" i="2"/>
  <c r="K15" i="2" s="1"/>
  <c r="J16" i="2"/>
  <c r="C16" i="2"/>
  <c r="K16" i="2" s="1"/>
  <c r="J2" i="2"/>
  <c r="C2" i="2"/>
  <c r="K2" i="2" s="1"/>
  <c r="J12" i="2"/>
  <c r="C12" i="2"/>
  <c r="K12" i="2" s="1"/>
  <c r="J14" i="2"/>
  <c r="C14" i="2"/>
  <c r="K14" i="2" s="1"/>
  <c r="L2" i="2"/>
  <c r="M2" i="2"/>
  <c r="L7" i="2"/>
  <c r="M7" i="2"/>
  <c r="M11" i="2"/>
  <c r="L11" i="2"/>
  <c r="L14" i="2"/>
  <c r="M14" i="2"/>
  <c r="L4" i="2"/>
  <c r="M4" i="2"/>
  <c r="L6" i="2"/>
  <c r="M6" i="2"/>
  <c r="L9" i="2"/>
  <c r="M9" i="2"/>
  <c r="L13" i="2"/>
  <c r="M13" i="2"/>
  <c r="L16" i="2"/>
  <c r="M16" i="2"/>
  <c r="L3" i="2"/>
  <c r="M3" i="2"/>
  <c r="L8" i="2"/>
  <c r="M8" i="2"/>
  <c r="L10" i="2"/>
  <c r="M10" i="2"/>
  <c r="L15" i="2"/>
  <c r="M15" i="2"/>
  <c r="L5" i="2"/>
  <c r="M5" i="2"/>
  <c r="M12" i="2"/>
  <c r="L12" i="2"/>
  <c r="Q14" i="2" l="1"/>
  <c r="Q13" i="2"/>
</calcChain>
</file>

<file path=xl/sharedStrings.xml><?xml version="1.0" encoding="utf-8"?>
<sst xmlns="http://schemas.openxmlformats.org/spreadsheetml/2006/main" count="51" uniqueCount="44">
  <si>
    <t>Resistance</t>
  </si>
  <si>
    <t>Voltage</t>
  </si>
  <si>
    <t>Current</t>
  </si>
  <si>
    <t>Reading 1</t>
  </si>
  <si>
    <t>Reading 2</t>
  </si>
  <si>
    <t>Curr:</t>
  </si>
  <si>
    <t>Calculated</t>
  </si>
  <si>
    <t>Converted</t>
  </si>
  <si>
    <t>Equation</t>
  </si>
  <si>
    <t>Blue</t>
  </si>
  <si>
    <t>Orange</t>
  </si>
  <si>
    <t>Multimeter</t>
  </si>
  <si>
    <t>Expected Reading</t>
  </si>
  <si>
    <t>Actual ADC Reading</t>
  </si>
  <si>
    <t>Constants</t>
  </si>
  <si>
    <t>ADS Conversion:</t>
  </si>
  <si>
    <t>ADC Difference</t>
  </si>
  <si>
    <t>R1</t>
  </si>
  <si>
    <t>R2</t>
  </si>
  <si>
    <t>Ratio</t>
  </si>
  <si>
    <t>Actual Divided Voltage</t>
  </si>
  <si>
    <t>Expected Divided Voltage</t>
  </si>
  <si>
    <t>Sensor Voltage Reading</t>
  </si>
  <si>
    <t xml:space="preserve">Full Voltage Difference </t>
  </si>
  <si>
    <t>Divided Voltage Difference</t>
  </si>
  <si>
    <t>Adjusted Reading</t>
  </si>
  <si>
    <t>Adj R1</t>
  </si>
  <si>
    <t>Adj R2</t>
  </si>
  <si>
    <t>Offset</t>
  </si>
  <si>
    <t>Adjusted Voltage Difference</t>
  </si>
  <si>
    <t>Adjusted Voltage</t>
  </si>
  <si>
    <t>Adj Ave Voltage (Divided)</t>
  </si>
  <si>
    <t>Outlier</t>
  </si>
  <si>
    <t>Adj Ave Reading</t>
  </si>
  <si>
    <t>Adjusted Reading Difference</t>
  </si>
  <si>
    <t>Ratio (Manually)</t>
  </si>
  <si>
    <t>R2/(R2+R1)</t>
  </si>
  <si>
    <t>-57 at 0</t>
  </si>
  <si>
    <t>Intercept+0</t>
  </si>
  <si>
    <t>No 0</t>
  </si>
  <si>
    <t>-22 at 0</t>
  </si>
  <si>
    <t>Reading Difference</t>
  </si>
  <si>
    <t>End pt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</si>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</sst>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0E+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165" fontId="0" fillId="0" borderId="0" xfId="0" applyNumberFormat="1"/>
    <xf numFmtId="0" fontId="0" fillId="0" borderId="6" xfId="0" applyBorder="1"/>
    <xf numFmtId="164" fontId="0" fillId="0" borderId="6" xfId="0" applyNumberFormat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/>
    <xf numFmtId="0" fontId="0" fillId="0" borderId="0" xfId="0" quotePrefix="1"/>
    <xf numFmtId="0" fontId="0" fillId="3" borderId="0" xfId="0" applyFill="1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'HE Current Sensor'!$D$1</c:f>
              <c:strCache>
                <c:ptCount val="1"/>
                <c:pt idx="0">
                  <c:v>Reading 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7249551334934665"/>
                  <c:y val="0.269190704053620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'HE Current Sensor'!$C$2:$C$14</c:f>
              <c:numCache>
                <c:formatCode>General</c:formatCode>
                <c:ptCount val="13"/>
                <c:pt idx="0">
                  <c:v>22.909090909090907</c:v>
                </c:pt>
                <c:pt idx="1">
                  <c:v>24.8</c:v>
                </c:pt>
                <c:pt idx="2">
                  <c:v>25.1</c:v>
                </c:pt>
                <c:pt idx="3">
                  <c:v>19.46153846153846</c:v>
                </c:pt>
                <c:pt idx="4">
                  <c:v>22.545454545454543</c:v>
                </c:pt>
                <c:pt idx="5">
                  <c:v>30.625</c:v>
                </c:pt>
                <c:pt idx="6">
                  <c:v>30.375</c:v>
                </c:pt>
                <c:pt idx="7">
                  <c:v>30.625</c:v>
                </c:pt>
                <c:pt idx="8">
                  <c:v>25.1</c:v>
                </c:pt>
                <c:pt idx="9">
                  <c:v>25.3</c:v>
                </c:pt>
                <c:pt idx="10">
                  <c:v>23.090909090909086</c:v>
                </c:pt>
                <c:pt idx="11">
                  <c:v>0</c:v>
                </c:pt>
                <c:pt idx="12">
                  <c:v>100</c:v>
                </c:pt>
              </c:numCache>
            </c:numRef>
          </c:xVal>
          <c:yVal>
            <c:numRef>
              <c:f>'HE Current Sensor'!$D$2:$D$14</c:f>
              <c:numCache>
                <c:formatCode>General</c:formatCode>
                <c:ptCount val="13"/>
                <c:pt idx="0">
                  <c:v>6062</c:v>
                </c:pt>
                <c:pt idx="1">
                  <c:v>6846</c:v>
                </c:pt>
                <c:pt idx="2">
                  <c:v>7610</c:v>
                </c:pt>
                <c:pt idx="3">
                  <c:v>6160</c:v>
                </c:pt>
                <c:pt idx="4">
                  <c:v>8584</c:v>
                </c:pt>
                <c:pt idx="5">
                  <c:v>10995</c:v>
                </c:pt>
                <c:pt idx="6">
                  <c:v>11514</c:v>
                </c:pt>
                <c:pt idx="7">
                  <c:v>11397</c:v>
                </c:pt>
                <c:pt idx="8">
                  <c:v>7392</c:v>
                </c:pt>
                <c:pt idx="9">
                  <c:v>6535</c:v>
                </c:pt>
                <c:pt idx="10">
                  <c:v>6039</c:v>
                </c:pt>
                <c:pt idx="11">
                  <c:v>-57</c:v>
                </c:pt>
                <c:pt idx="12">
                  <c:v>26666.666666666668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6F-4C4E-B4BF-723B63F67364}"/>
            </c:ext>
          </c:extLst>
        </c:ser>
        <c:ser>
          <c:idx val="1"/>
          <c:order val="1"/>
          <c:tx>
            <c:strRef>
              <c:f>'HE Current Sensor'!$E$1</c:f>
              <c:strCache>
                <c:ptCount val="1"/>
                <c:pt idx="0">
                  <c:v>Reading 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6334336103883024E-2"/>
                  <c:y val="-9.738356201575131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'HE Current Sensor'!$C$2:$C$14</c:f>
              <c:numCache>
                <c:formatCode>General</c:formatCode>
                <c:ptCount val="13"/>
                <c:pt idx="0">
                  <c:v>22.909090909090907</c:v>
                </c:pt>
                <c:pt idx="1">
                  <c:v>24.8</c:v>
                </c:pt>
                <c:pt idx="2">
                  <c:v>25.1</c:v>
                </c:pt>
                <c:pt idx="3">
                  <c:v>19.46153846153846</c:v>
                </c:pt>
                <c:pt idx="4">
                  <c:v>22.545454545454543</c:v>
                </c:pt>
                <c:pt idx="5">
                  <c:v>30.625</c:v>
                </c:pt>
                <c:pt idx="6">
                  <c:v>30.375</c:v>
                </c:pt>
                <c:pt idx="7">
                  <c:v>30.625</c:v>
                </c:pt>
                <c:pt idx="8">
                  <c:v>25.1</c:v>
                </c:pt>
                <c:pt idx="9">
                  <c:v>25.3</c:v>
                </c:pt>
                <c:pt idx="10">
                  <c:v>23.090909090909086</c:v>
                </c:pt>
                <c:pt idx="11">
                  <c:v>0</c:v>
                </c:pt>
                <c:pt idx="12">
                  <c:v>100</c:v>
                </c:pt>
              </c:numCache>
            </c:numRef>
          </c:xVal>
          <c:yVal>
            <c:numRef>
              <c:f>'HE Current Sensor'!$E$2:$E$14</c:f>
              <c:numCache>
                <c:formatCode>General</c:formatCode>
                <c:ptCount val="13"/>
                <c:pt idx="0">
                  <c:v>6067</c:v>
                </c:pt>
                <c:pt idx="1">
                  <c:v>6999</c:v>
                </c:pt>
                <c:pt idx="2">
                  <c:v>7777</c:v>
                </c:pt>
                <c:pt idx="3">
                  <c:v>6305</c:v>
                </c:pt>
                <c:pt idx="4">
                  <c:v>8761</c:v>
                </c:pt>
                <c:pt idx="5">
                  <c:v>11197</c:v>
                </c:pt>
                <c:pt idx="6">
                  <c:v>11735</c:v>
                </c:pt>
                <c:pt idx="7">
                  <c:v>11609</c:v>
                </c:pt>
                <c:pt idx="8">
                  <c:v>7548</c:v>
                </c:pt>
                <c:pt idx="9">
                  <c:v>6696</c:v>
                </c:pt>
                <c:pt idx="10">
                  <c:v>6188</c:v>
                </c:pt>
                <c:pt idx="11">
                  <c:v>-22</c:v>
                </c:pt>
                <c:pt idx="12">
                  <c:v>26666.666666666668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6F-4C4E-B4BF-723B63F67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1587040"/>
        <c:axId val="1461570720"/>
      </c:scatterChart>
      <c:valAx>
        <c:axId val="146158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570720"/>
        <c:crosses val="autoZero"/>
        <c:crossBetween val="midCat"/>
      </c:valAx>
      <c:valAx>
        <c:axId val="146157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587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'Voltage Divider'!$K$2:$K$17</c:f>
              <c:numCache>
                <c:formatCode>General</c:formatCode>
                <c:ptCount val="16"/>
                <c:pt idx="0">
                  <c:v>300</c:v>
                </c:pt>
                <c:pt idx="1">
                  <c:v>306.22222222221899</c:v>
                </c:pt>
                <c:pt idx="2">
                  <c:v>300.22222222221899</c:v>
                </c:pt>
                <c:pt idx="3">
                  <c:v>285.77777777778101</c:v>
                </c:pt>
                <c:pt idx="4">
                  <c:v>272.77777777778101</c:v>
                </c:pt>
                <c:pt idx="5">
                  <c:v>313.33333333333212</c:v>
                </c:pt>
                <c:pt idx="6">
                  <c:v>248.88888888888323</c:v>
                </c:pt>
                <c:pt idx="7">
                  <c:v>292.77777777777737</c:v>
                </c:pt>
                <c:pt idx="8">
                  <c:v>273.77777777777737</c:v>
                </c:pt>
                <c:pt idx="9">
                  <c:v>264.77777777777737</c:v>
                </c:pt>
                <c:pt idx="10">
                  <c:v>326.55555555555839</c:v>
                </c:pt>
                <c:pt idx="11">
                  <c:v>293.66666666666424</c:v>
                </c:pt>
                <c:pt idx="12">
                  <c:v>257.66666666666788</c:v>
                </c:pt>
                <c:pt idx="13">
                  <c:v>315.11111111110586</c:v>
                </c:pt>
                <c:pt idx="14">
                  <c:v>291.22222222222626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1E-44FF-9EC8-17D7DA9D4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958383"/>
        <c:axId val="770960783"/>
      </c:scatterChart>
      <c:valAx>
        <c:axId val="770958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960783"/>
        <c:crosses val="autoZero"/>
        <c:crossBetween val="midCat"/>
      </c:valAx>
      <c:valAx>
        <c:axId val="77096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958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'Voltage Divider'!$C$1</c:f>
              <c:strCache>
                <c:ptCount val="1"/>
                <c:pt idx="0">
                  <c:v>Expected Reading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'Voltage Divider'!$C$2:$C$26</c:f>
              <c:numCache>
                <c:formatCode>General</c:formatCode>
                <c:ptCount val="25"/>
                <c:pt idx="0">
                  <c:v>25333.333333333332</c:v>
                </c:pt>
                <c:pt idx="1">
                  <c:v>25022.222222222219</c:v>
                </c:pt>
                <c:pt idx="2">
                  <c:v>25022.222222222219</c:v>
                </c:pt>
                <c:pt idx="3">
                  <c:v>24977.777777777777</c:v>
                </c:pt>
                <c:pt idx="4">
                  <c:v>24977.777777777777</c:v>
                </c:pt>
                <c:pt idx="5">
                  <c:v>24799.999999999996</c:v>
                </c:pt>
                <c:pt idx="6">
                  <c:v>24622.222222222219</c:v>
                </c:pt>
                <c:pt idx="7">
                  <c:v>24577.777777777774</c:v>
                </c:pt>
                <c:pt idx="8">
                  <c:v>24577.777777777774</c:v>
                </c:pt>
                <c:pt idx="9">
                  <c:v>24577.777777777774</c:v>
                </c:pt>
                <c:pt idx="10">
                  <c:v>24355.555555555555</c:v>
                </c:pt>
                <c:pt idx="11">
                  <c:v>24266.666666666664</c:v>
                </c:pt>
                <c:pt idx="12">
                  <c:v>24266.666666666664</c:v>
                </c:pt>
                <c:pt idx="13">
                  <c:v>23911.111111111106</c:v>
                </c:pt>
                <c:pt idx="14">
                  <c:v>23822.222222222223</c:v>
                </c:pt>
                <c:pt idx="24">
                  <c:v>25955.555555555551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84-49BF-9DEC-9C33E33ED012}"/>
            </c:ext>
          </c:extLst>
        </c:ser>
        <c:ser>
          <c:idx val="1"/>
          <c:order val="1"/>
          <c:tx>
            <c:strRef>
              <c:f>'Voltage Divider'!$F$1</c:f>
              <c:strCache>
                <c:ptCount val="1"/>
                <c:pt idx="0">
                  <c:v>Actual ADC Reading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'Voltage Divider'!$F$2:$F$26</c:f>
              <c:numCache>
                <c:formatCode>General</c:formatCode>
                <c:ptCount val="25"/>
                <c:pt idx="0">
                  <c:v>25033.333333333332</c:v>
                </c:pt>
                <c:pt idx="1">
                  <c:v>24716</c:v>
                </c:pt>
                <c:pt idx="2">
                  <c:v>24722</c:v>
                </c:pt>
                <c:pt idx="3">
                  <c:v>24691.999999999996</c:v>
                </c:pt>
                <c:pt idx="4">
                  <c:v>24704.999999999996</c:v>
                </c:pt>
                <c:pt idx="5">
                  <c:v>24486.666666666664</c:v>
                </c:pt>
                <c:pt idx="6">
                  <c:v>24373.333333333336</c:v>
                </c:pt>
                <c:pt idx="7">
                  <c:v>24284.999999999996</c:v>
                </c:pt>
                <c:pt idx="8">
                  <c:v>24303.999999999996</c:v>
                </c:pt>
                <c:pt idx="9">
                  <c:v>24312.999999999996</c:v>
                </c:pt>
                <c:pt idx="10">
                  <c:v>24028.999999999996</c:v>
                </c:pt>
                <c:pt idx="11">
                  <c:v>23973</c:v>
                </c:pt>
                <c:pt idx="12">
                  <c:v>24008.999999999996</c:v>
                </c:pt>
                <c:pt idx="13">
                  <c:v>23596</c:v>
                </c:pt>
                <c:pt idx="14">
                  <c:v>23530.999999999996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84-49BF-9DEC-9C33E33ED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0956175"/>
        <c:axId val="810956655"/>
      </c:lineChart>
      <c:catAx>
        <c:axId val="810956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956655"/>
        <c:crosses val="autoZero"/>
        <c:auto val="1"/>
        <c:lblAlgn val="ctr"/>
        <c:lblOffset val="100"/>
        <c:noMultiLvlLbl val="0"/>
      </c:catAx>
      <c:valAx>
        <c:axId val="81095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95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'Voltage Divider'!$J$1</c:f>
              <c:strCache>
                <c:ptCount val="1"/>
                <c:pt idx="0">
                  <c:v>Divided Voltage Difference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'Voltage Divider'!$J$2:$J$26</c:f>
              <c:numCache>
                <c:formatCode>General</c:formatCode>
                <c:ptCount val="25"/>
                <c:pt idx="0">
                  <c:v>5.6250000000000355E-2</c:v>
                </c:pt>
                <c:pt idx="1">
                  <c:v>5.7416666666666671E-2</c:v>
                </c:pt>
                <c:pt idx="2">
                  <c:v>5.6291666666666629E-2</c:v>
                </c:pt>
                <c:pt idx="3">
                  <c:v>5.3583333333333982E-2</c:v>
                </c:pt>
                <c:pt idx="4">
                  <c:v>5.114583333333389E-2</c:v>
                </c:pt>
                <c:pt idx="5">
                  <c:v>5.8749999999999858E-2</c:v>
                </c:pt>
                <c:pt idx="6">
                  <c:v>4.6666666666665968E-2</c:v>
                </c:pt>
                <c:pt idx="7">
                  <c:v>5.4895833333333144E-2</c:v>
                </c:pt>
                <c:pt idx="8">
                  <c:v>5.1333333333333009E-2</c:v>
                </c:pt>
                <c:pt idx="9">
                  <c:v>4.9645833333332945E-2</c:v>
                </c:pt>
                <c:pt idx="10">
                  <c:v>6.1229166666667112E-2</c:v>
                </c:pt>
                <c:pt idx="11">
                  <c:v>5.5062500000000014E-2</c:v>
                </c:pt>
                <c:pt idx="12">
                  <c:v>4.8312500000000647E-2</c:v>
                </c:pt>
                <c:pt idx="13">
                  <c:v>5.908333333333271E-2</c:v>
                </c:pt>
                <c:pt idx="14">
                  <c:v>5.4604166666667453E-2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8C-46F9-AA4F-68F7B0EC3CBA}"/>
            </c:ext>
          </c:extLst>
        </c:ser>
        <c:ser>
          <c:idx val="1"/>
          <c:order val="1"/>
          <c:tx>
            <c:strRef>
              <c:f>'Voltage Divider'!$L$1</c:f>
              <c:strCache>
                <c:ptCount val="1"/>
                <c:pt idx="0">
                  <c:v>Adjusted Voltage Difference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'Voltage Divider'!$L$2:$L$26</c:f>
              <c:numCache>
                <c:formatCode>General</c:formatCode>
                <c:ptCount val="25"/>
                <c:pt idx="0">
                  <c:v>3.5107964324865293E-4</c:v>
                </c:pt>
                <c:pt idx="1">
                  <c:v>2.204224279208411E-3</c:v>
                </c:pt>
                <c:pt idx="2">
                  <c:v>1.0792242792083684E-3</c:v>
                </c:pt>
                <c:pt idx="3">
                  <c:v>-1.5310407727966435E-3</c:v>
                </c:pt>
                <c:pt idx="4">
                  <c:v>-3.9685407727967359E-3</c:v>
                </c:pt>
                <c:pt idx="5">
                  <c:v>4.0278990191797703E-3</c:v>
                </c:pt>
                <c:pt idx="6">
                  <c:v>-7.6631611888435813E-3</c:v>
                </c:pt>
                <c:pt idx="7">
                  <c:v>6.6407375915122913E-4</c:v>
                </c:pt>
                <c:pt idx="8">
                  <c:v>-2.8984262408489059E-3</c:v>
                </c:pt>
                <c:pt idx="9">
                  <c:v>-4.5859262408489698E-3</c:v>
                </c:pt>
                <c:pt idx="10">
                  <c:v>7.48774849912337E-3</c:v>
                </c:pt>
                <c:pt idx="11">
                  <c:v>1.5172183951115414E-3</c:v>
                </c:pt>
                <c:pt idx="12">
                  <c:v>-5.2327816048878262E-3</c:v>
                </c:pt>
                <c:pt idx="13">
                  <c:v>6.3225979790653142E-3</c:v>
                </c:pt>
                <c:pt idx="14">
                  <c:v>2.0395678750553259E-3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8C-46F9-AA4F-68F7B0EC3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1612095"/>
        <c:axId val="2141613055"/>
      </c:lineChart>
      <c:catAx>
        <c:axId val="2141612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613055"/>
        <c:crosses val="autoZero"/>
        <c:auto val="1"/>
        <c:lblAlgn val="ctr"/>
        <c:lblOffset val="100"/>
        <c:noMultiLvlLbl val="0"/>
      </c:catAx>
      <c:valAx>
        <c:axId val="214161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61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133740</xdr:colOff>
      <xdr:row>1</xdr:row>
      <xdr:rowOff>134932</xdr:rowOff>
    </xdr:from>
    <xdr:to>
      <xdr:col>16</xdr:col>
      <xdr:colOff>133739</xdr:colOff>
      <xdr:row>16</xdr:row>
      <xdr:rowOff>134931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9808D-EA8C-0518-7401-574F4C4E4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237877</xdr:colOff>
      <xdr:row>18</xdr:row>
      <xdr:rowOff>136332</xdr:rowOff>
    </xdr:from>
    <xdr:to>
      <xdr:col>20</xdr:col>
      <xdr:colOff>510209</xdr:colOff>
      <xdr:row>33</xdr:row>
      <xdr:rowOff>107012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97AC68-A118-0393-BCAE-FB0CCCCB0C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357477</xdr:colOff>
      <xdr:row>32</xdr:row>
      <xdr:rowOff>20707</xdr:rowOff>
    </xdr:from>
    <xdr:to>
      <xdr:col>24</xdr:col>
      <xdr:colOff>478885</xdr:colOff>
      <xdr:row>51</xdr:row>
      <xdr:rowOff>19878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97FEA7-130E-2B24-6EBC-0C08DDC59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258417</xdr:colOff>
      <xdr:row>27</xdr:row>
      <xdr:rowOff>43069</xdr:rowOff>
    </xdr:from>
    <xdr:to>
      <xdr:col>15</xdr:col>
      <xdr:colOff>278295</xdr:colOff>
      <xdr:row>42</xdr:row>
      <xdr:rowOff>3313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00C9C6-5BBE-3BF0-8A64-502BE465C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6C1F1C-C346-40A2-AED4-01E548A5B84D}" name="Table1" displayName="Table1" ref="A1:G14" totalsRowShown="0">
  <autoFilter ref="A1:G14" xr:uid="{2E6C1F1C-C346-40A2-AED4-01E548A5B84D}"/>
  <tableColumns count="7">
    <tableColumn id="1" xr3:uid="{9DCCA9BC-CC5F-4B97-94E2-9B11E3E7F1C2}" name="Resistance"/>
    <tableColumn id="2" xr3:uid="{3C2514E6-8D46-4858-BD37-DB9203AD1C5E}" name="Voltage"/>
    <tableColumn id="3" xr3:uid="{FF657815-9719-4713-B846-2D1B3DBFC227}" name="Current">
      <calculatedColumnFormula>B2/A2</calculatedColumnFormula>
    </tableColumn>
    <tableColumn id="4" xr3:uid="{0BFD2001-A65A-4633-88A3-5EE4BCD0BFA9}" name="Reading 1"/>
    <tableColumn id="5" xr3:uid="{A531ED5C-A85D-4EC7-8A8F-EB1246D50E06}" name="Reading 2"/>
    <tableColumn id="6" xr3:uid="{071E4BEA-2A8E-4387-BCCA-C62120D9AA9E}" name="Reading Difference" dataDxfId="1">
      <calculatedColumnFormula>Table1[[#This Row],[Reading 2]]-Table1[[#This Row],[Reading 1]]</calculatedColumnFormula>
    </tableColumn>
    <tableColumn id="7" xr3:uid="{A1F65FD6-F454-4AD6-8847-FBBE0F1435B6}" name="Column1" dataDxfId="0">
      <calculatedColumnFormula>100*Table1[[#This Row],[Reading Difference]]/Table1[[#This Row],[Reading 2]]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87309B-6D36-482C-AF41-B5EB3D643EA5}" name="Table4" displayName="Table4" ref="A1:M17" totalsRowShown="0">
  <autoFilter ref="A1:M17" xr:uid="{C287309B-6D36-482C-AF41-B5EB3D643EA5}"/>
  <tableColumns count="13">
    <tableColumn id="1" xr3:uid="{18D4E79D-61C4-4283-8EA8-0C486CCB9C95}" name="Multimeter"/>
    <tableColumn id="2" xr3:uid="{3D3DDF7A-B91C-4E0F-938B-9BAF2BF8E62D}" name="Expected Divided Voltage" dataDxfId="12">
      <calculatedColumnFormula>A2*$Q$5</calculatedColumnFormula>
    </tableColumn>
    <tableColumn id="3" xr3:uid="{0F13E274-0523-4466-A526-31E85B78F146}" name="Expected Reading" dataDxfId="11">
      <calculatedColumnFormula>B2/$Q$2</calculatedColumnFormula>
    </tableColumn>
    <tableColumn id="4" xr3:uid="{4CCC83DC-22C2-4736-A10B-B38C77E7337F}" name="Sensor Voltage Reading"/>
    <tableColumn id="5" xr3:uid="{285047F7-9E22-4A5B-97BE-8FBEAD0648C1}" name="Actual Divided Voltage" dataDxfId="10">
      <calculatedColumnFormula>D2*$Q$5</calculatedColumnFormula>
    </tableColumn>
    <tableColumn id="6" xr3:uid="{3F79C850-08A4-4F6B-BCA8-9B58B3875326}" name="Actual ADC Reading" dataDxfId="9">
      <calculatedColumnFormula>Table4[[#This Row],[Actual Divided Voltage]]/$Q$2</calculatedColumnFormula>
    </tableColumn>
    <tableColumn id="7" xr3:uid="{68302041-C69D-433E-A989-FCEC783376DE}" name="Full Voltage Difference " dataDxfId="8">
      <calculatedColumnFormula>A2-D2</calculatedColumnFormula>
    </tableColumn>
    <tableColumn id="13" xr3:uid="{E64556C4-E822-4B9E-A72A-A68BEF816C34}" name="Adjusted Voltage" dataDxfId="7">
      <calculatedColumnFormula>Table4[[#This Row],[Multimeter]]*$Q$9</calculatedColumnFormula>
    </tableColumn>
    <tableColumn id="10" xr3:uid="{8286CDF6-5417-4249-B41A-4CB5D0435F96}" name="Adjusted Reading" dataDxfId="6">
      <calculatedColumnFormula>$Q$10+Table4[[#This Row],[Adjusted Voltage]]/$Q$2</calculatedColumnFormula>
    </tableColumn>
    <tableColumn id="8" xr3:uid="{3DEF19D2-003D-49E5-A953-97D2E6AFE232}" name="Divided Voltage Difference" dataDxfId="5">
      <calculatedColumnFormula>Table4[[#This Row],[Expected Divided Voltage]]-Table4[[#This Row],[Actual Divided Voltage]]</calculatedColumnFormula>
    </tableColumn>
    <tableColumn id="9" xr3:uid="{6EC4AB3F-3B02-4418-9131-0736232C7684}" name="ADC Difference" dataDxfId="4">
      <calculatedColumnFormula>C2-F2</calculatedColumnFormula>
    </tableColumn>
    <tableColumn id="14" xr3:uid="{41706AD2-D388-4A38-AF4E-437961598AA7}" name="Adjusted Voltage Difference" dataDxfId="3">
      <calculatedColumnFormula>Table4[[#This Row],[Adjusted Voltage]]-Table4[[#This Row],[Actual Divided Voltage]]</calculatedColumnFormula>
    </tableColumn>
    <tableColumn id="12" xr3:uid="{246ABA43-71F5-431B-999E-412B2AD3C38D}" name="Adjusted Reading Difference" dataDxfId="2">
      <calculatedColumnFormula>Table4[[#This Row],[Adjusted Reading]]-Table4[[#This Row],[Actual ADC Reading]]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4075C-118D-4BC9-9E59-C74B697F8432}">
  <dimension ref="A1:P50"/>
  <sheetViews>
    <sheetView topLeftCell="G1" zoomScale="130" zoomScaleNormal="130" workbookViewId="0">
      <selection activeCell="G13" sqref="G13"/>
    </sheetView>
  </sheetViews>
  <sheetFormatPr defaultRowHeight="14.4" x14ac:dyDescent="0.3"/>
  <cols>
    <col min="1" max="1" width="12" customWidth="1"/>
    <col min="2" max="3" width="9.109375" customWidth="1"/>
    <col min="4" max="5" width="10.88671875" customWidth="1"/>
    <col min="6" max="6" width="18.88671875" bestFit="1" customWidth="1"/>
    <col min="11" max="11" width="15.77734375" bestFit="1" customWidth="1"/>
    <col min="12" max="12" width="8.21875" bestFit="1" customWidth="1"/>
    <col min="13" max="13" width="7.77734375" bestFit="1" customWidth="1"/>
    <col min="15" max="15" width="9.77734375" bestFit="1" customWidth="1"/>
    <col min="16" max="16" width="12.44140625" bestFit="1" customWidth="1"/>
    <col min="18" max="18" width="9.77734375" bestFit="1" customWidth="1"/>
    <col min="19" max="19" width="11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41</v>
      </c>
      <c r="G1" t="s">
        <v>43</v>
      </c>
    </row>
    <row r="2" spans="1:7" x14ac:dyDescent="0.3">
      <c r="A2">
        <v>1.1000000000000001</v>
      </c>
      <c r="B2">
        <v>25.2</v>
      </c>
      <c r="C2">
        <f>B2/A2</f>
        <v>22.909090909090907</v>
      </c>
      <c r="D2">
        <v>6062</v>
      </c>
      <c r="E2">
        <v>6067</v>
      </c>
      <c r="F2">
        <f>Table1[[#This Row],[Reading 2]]-Table1[[#This Row],[Reading 1]]</f>
        <v>5</v>
      </c>
      <c r="G2">
        <f>100*Table1[[#This Row],[Reading Difference]]/Table1[[#This Row],[Reading 2]]</f>
        <v>8.2413054227789675E-2</v>
      </c>
    </row>
    <row r="3" spans="1:7" x14ac:dyDescent="0.3">
      <c r="A3">
        <v>1</v>
      </c>
      <c r="B3">
        <v>24.8</v>
      </c>
      <c r="C3">
        <f t="shared" ref="C3:C9" si="0">B3/A3</f>
        <v>24.8</v>
      </c>
      <c r="D3">
        <v>6846</v>
      </c>
      <c r="E3">
        <v>6999</v>
      </c>
      <c r="F3">
        <f>Table1[[#This Row],[Reading 2]]-Table1[[#This Row],[Reading 1]]</f>
        <v>153</v>
      </c>
      <c r="G3">
        <f>100*Table1[[#This Row],[Reading Difference]]/Table1[[#This Row],[Reading 2]]</f>
        <v>2.1860265752250321</v>
      </c>
    </row>
    <row r="4" spans="1:7" x14ac:dyDescent="0.3">
      <c r="A4">
        <v>1</v>
      </c>
      <c r="B4">
        <v>25.1</v>
      </c>
      <c r="C4">
        <f t="shared" si="0"/>
        <v>25.1</v>
      </c>
      <c r="D4">
        <v>7610</v>
      </c>
      <c r="E4">
        <v>7777</v>
      </c>
      <c r="F4">
        <f>Table1[[#This Row],[Reading 2]]-Table1[[#This Row],[Reading 1]]</f>
        <v>167</v>
      </c>
      <c r="G4">
        <f>100*Table1[[#This Row],[Reading Difference]]/Table1[[#This Row],[Reading 2]]</f>
        <v>2.1473575929021473</v>
      </c>
    </row>
    <row r="5" spans="1:7" x14ac:dyDescent="0.3">
      <c r="A5">
        <v>1.3</v>
      </c>
      <c r="B5">
        <v>25.3</v>
      </c>
      <c r="C5">
        <f t="shared" si="0"/>
        <v>19.46153846153846</v>
      </c>
      <c r="D5">
        <v>6160</v>
      </c>
      <c r="E5">
        <v>6305</v>
      </c>
      <c r="F5">
        <f>Table1[[#This Row],[Reading 2]]-Table1[[#This Row],[Reading 1]]</f>
        <v>145</v>
      </c>
      <c r="G5">
        <f>100*Table1[[#This Row],[Reading Difference]]/Table1[[#This Row],[Reading 2]]</f>
        <v>2.2997620935765264</v>
      </c>
    </row>
    <row r="6" spans="1:7" x14ac:dyDescent="0.3">
      <c r="A6">
        <v>1.1000000000000001</v>
      </c>
      <c r="B6">
        <v>24.8</v>
      </c>
      <c r="C6">
        <f t="shared" si="0"/>
        <v>22.545454545454543</v>
      </c>
      <c r="D6">
        <v>8584</v>
      </c>
      <c r="E6">
        <v>8761</v>
      </c>
      <c r="F6">
        <f>Table1[[#This Row],[Reading 2]]-Table1[[#This Row],[Reading 1]]</f>
        <v>177</v>
      </c>
      <c r="G6">
        <f>100*Table1[[#This Row],[Reading Difference]]/Table1[[#This Row],[Reading 2]]</f>
        <v>2.0203173153749572</v>
      </c>
    </row>
    <row r="7" spans="1:7" x14ac:dyDescent="0.3">
      <c r="A7">
        <v>0.8</v>
      </c>
      <c r="B7">
        <v>24.5</v>
      </c>
      <c r="C7">
        <f t="shared" si="0"/>
        <v>30.625</v>
      </c>
      <c r="D7">
        <v>10995</v>
      </c>
      <c r="E7">
        <v>11197</v>
      </c>
      <c r="F7">
        <f>Table1[[#This Row],[Reading 2]]-Table1[[#This Row],[Reading 1]]</f>
        <v>202</v>
      </c>
      <c r="G7">
        <f>100*Table1[[#This Row],[Reading Difference]]/Table1[[#This Row],[Reading 2]]</f>
        <v>1.804054657497544</v>
      </c>
    </row>
    <row r="8" spans="1:7" x14ac:dyDescent="0.3">
      <c r="A8">
        <v>0.8</v>
      </c>
      <c r="B8">
        <v>24.3</v>
      </c>
      <c r="C8">
        <f t="shared" si="0"/>
        <v>30.375</v>
      </c>
      <c r="D8">
        <v>11514</v>
      </c>
      <c r="E8">
        <v>11735</v>
      </c>
      <c r="F8">
        <f>Table1[[#This Row],[Reading 2]]-Table1[[#This Row],[Reading 1]]</f>
        <v>221</v>
      </c>
      <c r="G8">
        <f>100*Table1[[#This Row],[Reading Difference]]/Table1[[#This Row],[Reading 2]]</f>
        <v>1.8832552194290584</v>
      </c>
    </row>
    <row r="9" spans="1:7" x14ac:dyDescent="0.3">
      <c r="A9">
        <v>0.8</v>
      </c>
      <c r="B9">
        <v>24.5</v>
      </c>
      <c r="C9">
        <f t="shared" si="0"/>
        <v>30.625</v>
      </c>
      <c r="D9">
        <v>11397</v>
      </c>
      <c r="E9">
        <v>11609</v>
      </c>
      <c r="F9">
        <f>Table1[[#This Row],[Reading 2]]-Table1[[#This Row],[Reading 1]]</f>
        <v>212</v>
      </c>
      <c r="G9">
        <f>100*Table1[[#This Row],[Reading Difference]]/Table1[[#This Row],[Reading 2]]</f>
        <v>1.8261693513653201</v>
      </c>
    </row>
    <row r="10" spans="1:7" x14ac:dyDescent="0.3">
      <c r="A10">
        <v>1</v>
      </c>
      <c r="B10">
        <v>25.1</v>
      </c>
      <c r="C10">
        <f>B10/A10</f>
        <v>25.1</v>
      </c>
      <c r="D10">
        <v>7392</v>
      </c>
      <c r="E10">
        <v>7548</v>
      </c>
      <c r="F10">
        <f>Table1[[#This Row],[Reading 2]]-Table1[[#This Row],[Reading 1]]</f>
        <v>156</v>
      </c>
      <c r="G10">
        <f>100*Table1[[#This Row],[Reading Difference]]/Table1[[#This Row],[Reading 2]]</f>
        <v>2.066772655007949</v>
      </c>
    </row>
    <row r="11" spans="1:7" x14ac:dyDescent="0.3">
      <c r="A11">
        <v>1</v>
      </c>
      <c r="B11">
        <v>25.3</v>
      </c>
      <c r="C11">
        <f>B11/A11</f>
        <v>25.3</v>
      </c>
      <c r="D11">
        <v>6535</v>
      </c>
      <c r="E11">
        <v>6696</v>
      </c>
      <c r="F11">
        <f>Table1[[#This Row],[Reading 2]]-Table1[[#This Row],[Reading 1]]</f>
        <v>161</v>
      </c>
      <c r="G11">
        <f>100*Table1[[#This Row],[Reading Difference]]/Table1[[#This Row],[Reading 2]]</f>
        <v>2.40442054958184</v>
      </c>
    </row>
    <row r="12" spans="1:7" x14ac:dyDescent="0.3">
      <c r="A12">
        <v>1.1000000000000001</v>
      </c>
      <c r="B12">
        <v>25.4</v>
      </c>
      <c r="C12">
        <f>B12/A12</f>
        <v>23.090909090909086</v>
      </c>
      <c r="D12">
        <v>6039</v>
      </c>
      <c r="E12">
        <v>6188</v>
      </c>
      <c r="F12">
        <f>Table1[[#This Row],[Reading 2]]-Table1[[#This Row],[Reading 1]]</f>
        <v>149</v>
      </c>
      <c r="G12">
        <f>100*Table1[[#This Row],[Reading Difference]]/Table1[[#This Row],[Reading 2]]</f>
        <v>2.4078862314156431</v>
      </c>
    </row>
    <row r="13" spans="1:7" x14ac:dyDescent="0.3">
      <c r="C13">
        <v>0</v>
      </c>
      <c r="D13">
        <v>-57</v>
      </c>
      <c r="E13">
        <v>-22</v>
      </c>
      <c r="F13">
        <f>Table1[[#This Row],[Reading 2]]-Table1[[#This Row],[Reading 1]]</f>
        <v>35</v>
      </c>
      <c r="G13">
        <f>100*Table1[[#This Row],[Reading Difference]]/Table1[[#This Row],[Reading 2]]</f>
        <v>-159.09090909090909</v>
      </c>
    </row>
    <row r="14" spans="1:7" x14ac:dyDescent="0.3">
      <c r="C14">
        <v>100</v>
      </c>
      <c r="D14">
        <f>5/0.0001875</f>
        <v>26666.666666666668</v>
      </c>
      <c r="E14" s="11">
        <f>5/0.0001875</f>
        <v>26666.666666666668</v>
      </c>
      <c r="F14" s="14">
        <f>Table1[[#This Row],[Reading 2]]-Table1[[#This Row],[Reading 1]]</f>
        <v>0</v>
      </c>
      <c r="G14">
        <f>100*Table1[[#This Row],[Reading Difference]]/Table1[[#This Row],[Reading 2]]</f>
        <v>0</v>
      </c>
    </row>
    <row r="21" spans="1:16" x14ac:dyDescent="0.3">
      <c r="H21" s="11"/>
      <c r="I21" s="11"/>
      <c r="J21" s="11"/>
      <c r="K21" s="11"/>
      <c r="L21" s="7" t="s">
        <v>5</v>
      </c>
      <c r="M21" s="7">
        <v>80</v>
      </c>
      <c r="N21" s="11"/>
      <c r="O21" s="7" t="s">
        <v>5</v>
      </c>
      <c r="P21" s="7">
        <v>50</v>
      </c>
    </row>
    <row r="22" spans="1:16" x14ac:dyDescent="0.3">
      <c r="H22" s="11"/>
      <c r="I22" s="11" t="s">
        <v>8</v>
      </c>
      <c r="J22" s="11" t="s">
        <v>10</v>
      </c>
      <c r="K22" s="11"/>
      <c r="L22" s="11" t="s">
        <v>6</v>
      </c>
      <c r="M22" s="11" t="s">
        <v>7</v>
      </c>
      <c r="N22" s="11"/>
      <c r="O22" s="11" t="s">
        <v>6</v>
      </c>
      <c r="P22" s="11" t="s">
        <v>7</v>
      </c>
    </row>
    <row r="23" spans="1:16" x14ac:dyDescent="0.3">
      <c r="H23" s="11"/>
      <c r="I23" s="13">
        <v>363.17</v>
      </c>
      <c r="J23" s="13">
        <v>-898.46</v>
      </c>
      <c r="K23" s="13"/>
      <c r="L23" s="13">
        <f>IF(ISNUMBER(I23),$I23*M$21+$J23,"")</f>
        <v>28155.140000000003</v>
      </c>
      <c r="M23" s="13">
        <f>IF(ISNUMBER(I23),L23/(80000/3)*100,"")</f>
        <v>105.58177500000001</v>
      </c>
      <c r="N23" s="13"/>
      <c r="O23" s="13">
        <f>IF(ISNUMBER(I23),$I23*P$21+$J23, "")</f>
        <v>17260.04</v>
      </c>
      <c r="P23" s="13">
        <f>IF(ISNUMBER(I23),O23/(80000/3)*100, "")</f>
        <v>64.725149999999999</v>
      </c>
    </row>
    <row r="24" spans="1:16" x14ac:dyDescent="0.3">
      <c r="H24" s="11"/>
      <c r="I24" s="11">
        <v>257.27999999999997</v>
      </c>
      <c r="J24" s="11">
        <v>1087.0999999999999</v>
      </c>
      <c r="K24" s="11"/>
      <c r="L24" s="11">
        <f t="shared" ref="L24:L53" si="1">IF(ISNUMBER(I24),$I24*M$21+$J24,"")</f>
        <v>21669.499999999996</v>
      </c>
      <c r="M24" s="11">
        <f t="shared" ref="M24:M52" si="2">IF(ISNUMBER(I24),L24/(80000/3)*100,"")</f>
        <v>81.26062499999999</v>
      </c>
      <c r="N24" s="11"/>
      <c r="O24" s="11">
        <f t="shared" ref="O24:O52" si="3">IF(ISNUMBER(I24),$I24*P$21+$J24, "")</f>
        <v>13951.099999999999</v>
      </c>
      <c r="P24" s="11">
        <f t="shared" ref="P24:P51" si="4">IF(ISNUMBER(I24),O24/(80000/3)*100, "")</f>
        <v>52.316624999999995</v>
      </c>
    </row>
    <row r="25" spans="1:16" x14ac:dyDescent="0.3">
      <c r="A25" s="1">
        <v>0.6</v>
      </c>
      <c r="B25" s="2">
        <v>25</v>
      </c>
      <c r="C25" s="2">
        <f>B25/A25</f>
        <v>41.666666666666671</v>
      </c>
      <c r="D25" s="2">
        <v>8844</v>
      </c>
      <c r="E25" s="3">
        <v>9005</v>
      </c>
      <c r="H25" s="12" t="s">
        <v>37</v>
      </c>
      <c r="I25" s="13">
        <v>363.88</v>
      </c>
      <c r="J25" s="13">
        <v>-916.73</v>
      </c>
      <c r="K25" s="13"/>
      <c r="L25" s="13">
        <f t="shared" si="1"/>
        <v>28193.670000000002</v>
      </c>
      <c r="M25" s="13">
        <f t="shared" si="2"/>
        <v>105.72626250000002</v>
      </c>
      <c r="N25" s="13"/>
      <c r="O25" s="13">
        <f t="shared" si="3"/>
        <v>17277.27</v>
      </c>
      <c r="P25" s="13">
        <f t="shared" si="4"/>
        <v>64.789762500000009</v>
      </c>
    </row>
    <row r="26" spans="1:16" x14ac:dyDescent="0.3">
      <c r="A26" s="1">
        <v>0.8</v>
      </c>
      <c r="B26" s="2">
        <v>25.5</v>
      </c>
      <c r="C26" s="2">
        <f>B26/A26</f>
        <v>31.875</v>
      </c>
      <c r="D26" s="2">
        <v>6136</v>
      </c>
      <c r="E26" s="3">
        <v>6276</v>
      </c>
      <c r="H26" s="11" t="s">
        <v>38</v>
      </c>
      <c r="I26" s="11">
        <v>328.52</v>
      </c>
      <c r="J26" s="11">
        <v>0</v>
      </c>
      <c r="K26" s="11"/>
      <c r="L26" s="11">
        <f t="shared" si="1"/>
        <v>26281.599999999999</v>
      </c>
      <c r="M26" s="11">
        <f t="shared" si="2"/>
        <v>98.555999999999983</v>
      </c>
      <c r="N26" s="11"/>
      <c r="O26" s="11">
        <f t="shared" si="3"/>
        <v>16426</v>
      </c>
      <c r="P26" s="11">
        <f t="shared" si="4"/>
        <v>61.597499999999997</v>
      </c>
    </row>
    <row r="27" spans="1:16" x14ac:dyDescent="0.3">
      <c r="H27" s="11" t="s">
        <v>39</v>
      </c>
      <c r="I27" s="13">
        <v>363.17</v>
      </c>
      <c r="J27" s="13">
        <v>-898.46</v>
      </c>
      <c r="K27" s="13"/>
      <c r="L27" s="13">
        <f t="shared" si="1"/>
        <v>28155.140000000003</v>
      </c>
      <c r="M27" s="13">
        <f t="shared" si="2"/>
        <v>105.58177500000001</v>
      </c>
      <c r="N27" s="13"/>
      <c r="O27" s="13">
        <f t="shared" si="3"/>
        <v>17260.04</v>
      </c>
      <c r="P27" s="13">
        <f t="shared" si="4"/>
        <v>64.725149999999999</v>
      </c>
    </row>
    <row r="28" spans="1:16" x14ac:dyDescent="0.3">
      <c r="H28" s="11" t="s">
        <v>42</v>
      </c>
      <c r="I28" s="11">
        <v>262.64</v>
      </c>
      <c r="J28" s="11">
        <v>1364.8</v>
      </c>
      <c r="K28" s="11"/>
      <c r="L28" s="11">
        <f t="shared" si="1"/>
        <v>22375.999999999996</v>
      </c>
      <c r="M28" s="11">
        <f t="shared" si="2"/>
        <v>83.909999999999982</v>
      </c>
      <c r="N28" s="11"/>
      <c r="O28" s="11">
        <f t="shared" si="3"/>
        <v>14496.8</v>
      </c>
      <c r="P28" s="11">
        <f t="shared" si="4"/>
        <v>54.362999999999992</v>
      </c>
    </row>
    <row r="29" spans="1:16" x14ac:dyDescent="0.3">
      <c r="H29" s="11"/>
      <c r="I29" s="11"/>
      <c r="J29" s="11"/>
      <c r="K29" s="11"/>
      <c r="L29" s="11" t="str">
        <f t="shared" si="1"/>
        <v/>
      </c>
      <c r="M29" s="11" t="str">
        <f t="shared" si="2"/>
        <v/>
      </c>
      <c r="N29" s="11"/>
      <c r="O29" s="11" t="str">
        <f t="shared" si="3"/>
        <v/>
      </c>
      <c r="P29" s="11" t="str">
        <f t="shared" si="4"/>
        <v/>
      </c>
    </row>
    <row r="30" spans="1:16" x14ac:dyDescent="0.3">
      <c r="H30" s="11"/>
      <c r="I30" s="11"/>
      <c r="J30" s="11"/>
      <c r="K30" s="11"/>
      <c r="L30" s="11" t="str">
        <f t="shared" si="1"/>
        <v/>
      </c>
      <c r="M30" s="11" t="str">
        <f t="shared" si="2"/>
        <v/>
      </c>
      <c r="N30" s="11"/>
      <c r="O30" s="11" t="str">
        <f t="shared" si="3"/>
        <v/>
      </c>
      <c r="P30" s="11" t="str">
        <f t="shared" si="4"/>
        <v/>
      </c>
    </row>
    <row r="31" spans="1:16" x14ac:dyDescent="0.3">
      <c r="H31" s="11"/>
      <c r="I31" s="11" t="s">
        <v>8</v>
      </c>
      <c r="J31" s="11" t="s">
        <v>9</v>
      </c>
      <c r="K31" s="11"/>
      <c r="L31" s="11" t="str">
        <f t="shared" si="1"/>
        <v/>
      </c>
      <c r="M31" s="11" t="str">
        <f t="shared" si="2"/>
        <v/>
      </c>
      <c r="N31" s="11"/>
      <c r="O31" s="11" t="str">
        <f t="shared" si="3"/>
        <v/>
      </c>
      <c r="P31" s="11" t="str">
        <f t="shared" si="4"/>
        <v/>
      </c>
    </row>
    <row r="32" spans="1:16" x14ac:dyDescent="0.3">
      <c r="H32" s="12" t="s">
        <v>40</v>
      </c>
      <c r="I32" s="13">
        <v>385.19</v>
      </c>
      <c r="J32" s="13">
        <v>-932.7</v>
      </c>
      <c r="K32" s="13"/>
      <c r="L32" s="13">
        <f t="shared" si="1"/>
        <v>29882.5</v>
      </c>
      <c r="M32" s="13">
        <f t="shared" si="2"/>
        <v>112.059375</v>
      </c>
      <c r="N32" s="13"/>
      <c r="O32" s="13">
        <f t="shared" si="3"/>
        <v>18326.8</v>
      </c>
      <c r="P32" s="13">
        <f t="shared" si="4"/>
        <v>68.725499999999997</v>
      </c>
    </row>
    <row r="33" spans="8:16" x14ac:dyDescent="0.3">
      <c r="H33" s="11" t="s">
        <v>38</v>
      </c>
      <c r="I33" s="11">
        <v>322.22000000000003</v>
      </c>
      <c r="J33" s="11">
        <v>0</v>
      </c>
      <c r="K33" s="11"/>
      <c r="L33" s="11">
        <f t="shared" si="1"/>
        <v>25777.600000000002</v>
      </c>
      <c r="M33" s="11">
        <f t="shared" si="2"/>
        <v>96.666000000000011</v>
      </c>
      <c r="N33" s="11"/>
      <c r="O33" s="11">
        <f t="shared" si="3"/>
        <v>16111.000000000002</v>
      </c>
      <c r="P33" s="11">
        <f t="shared" si="4"/>
        <v>60.416250000000005</v>
      </c>
    </row>
    <row r="34" spans="8:16" x14ac:dyDescent="0.3">
      <c r="H34" s="11" t="s">
        <v>39</v>
      </c>
      <c r="I34" s="13">
        <v>356.37</v>
      </c>
      <c r="J34" s="13">
        <v>-885.38</v>
      </c>
      <c r="K34" s="13"/>
      <c r="L34" s="13">
        <f t="shared" si="1"/>
        <v>27624.219999999998</v>
      </c>
      <c r="M34" s="13">
        <f t="shared" si="2"/>
        <v>103.59082499999998</v>
      </c>
      <c r="N34" s="13"/>
      <c r="O34" s="13">
        <f t="shared" si="3"/>
        <v>16933.12</v>
      </c>
      <c r="P34" s="13">
        <f t="shared" si="4"/>
        <v>63.499199999999988</v>
      </c>
    </row>
    <row r="35" spans="8:16" x14ac:dyDescent="0.3">
      <c r="H35" s="11" t="s">
        <v>42</v>
      </c>
      <c r="I35" s="11">
        <v>263.67</v>
      </c>
      <c r="J35" s="11">
        <v>1197.4000000000001</v>
      </c>
      <c r="L35">
        <f t="shared" si="1"/>
        <v>22291.000000000004</v>
      </c>
      <c r="M35">
        <f t="shared" si="2"/>
        <v>83.591250000000002</v>
      </c>
      <c r="O35">
        <f t="shared" si="3"/>
        <v>14380.9</v>
      </c>
      <c r="P35">
        <f t="shared" si="4"/>
        <v>53.928374999999996</v>
      </c>
    </row>
    <row r="36" spans="8:16" x14ac:dyDescent="0.3">
      <c r="H36" s="11"/>
      <c r="I36" s="11"/>
      <c r="J36" s="11"/>
      <c r="L36" t="str">
        <f t="shared" si="1"/>
        <v/>
      </c>
      <c r="M36" t="str">
        <f t="shared" si="2"/>
        <v/>
      </c>
      <c r="O36" t="str">
        <f t="shared" si="3"/>
        <v/>
      </c>
      <c r="P36" t="str">
        <f t="shared" si="4"/>
        <v/>
      </c>
    </row>
    <row r="37" spans="8:16" x14ac:dyDescent="0.3">
      <c r="L37" t="str">
        <f t="shared" si="1"/>
        <v/>
      </c>
      <c r="M37" t="str">
        <f t="shared" si="2"/>
        <v/>
      </c>
      <c r="O37" t="str">
        <f t="shared" si="3"/>
        <v/>
      </c>
      <c r="P37" t="str">
        <f t="shared" si="4"/>
        <v/>
      </c>
    </row>
    <row r="38" spans="8:16" x14ac:dyDescent="0.3">
      <c r="L38" t="str">
        <f t="shared" si="1"/>
        <v/>
      </c>
      <c r="M38" t="str">
        <f t="shared" si="2"/>
        <v/>
      </c>
      <c r="O38" t="str">
        <f t="shared" si="3"/>
        <v/>
      </c>
      <c r="P38" t="str">
        <f t="shared" si="4"/>
        <v/>
      </c>
    </row>
    <row r="39" spans="8:16" x14ac:dyDescent="0.3">
      <c r="L39" t="str">
        <f t="shared" si="1"/>
        <v/>
      </c>
      <c r="M39" t="str">
        <f t="shared" si="2"/>
        <v/>
      </c>
      <c r="O39" t="str">
        <f t="shared" si="3"/>
        <v/>
      </c>
      <c r="P39" t="str">
        <f t="shared" si="4"/>
        <v/>
      </c>
    </row>
    <row r="40" spans="8:16" x14ac:dyDescent="0.3">
      <c r="L40" t="str">
        <f t="shared" si="1"/>
        <v/>
      </c>
      <c r="M40" t="str">
        <f t="shared" si="2"/>
        <v/>
      </c>
      <c r="O40" t="str">
        <f t="shared" si="3"/>
        <v/>
      </c>
      <c r="P40" t="str">
        <f t="shared" si="4"/>
        <v/>
      </c>
    </row>
    <row r="41" spans="8:16" x14ac:dyDescent="0.3">
      <c r="L41" t="str">
        <f t="shared" si="1"/>
        <v/>
      </c>
      <c r="M41" t="str">
        <f t="shared" si="2"/>
        <v/>
      </c>
      <c r="O41" t="str">
        <f t="shared" si="3"/>
        <v/>
      </c>
      <c r="P41" t="str">
        <f t="shared" si="4"/>
        <v/>
      </c>
    </row>
    <row r="42" spans="8:16" x14ac:dyDescent="0.3">
      <c r="L42" t="str">
        <f t="shared" si="1"/>
        <v/>
      </c>
      <c r="M42" t="str">
        <f t="shared" si="2"/>
        <v/>
      </c>
      <c r="O42" t="str">
        <f t="shared" si="3"/>
        <v/>
      </c>
      <c r="P42" t="str">
        <f t="shared" si="4"/>
        <v/>
      </c>
    </row>
    <row r="43" spans="8:16" x14ac:dyDescent="0.3">
      <c r="L43" t="str">
        <f t="shared" si="1"/>
        <v/>
      </c>
      <c r="M43" t="str">
        <f t="shared" si="2"/>
        <v/>
      </c>
      <c r="O43" t="str">
        <f t="shared" si="3"/>
        <v/>
      </c>
      <c r="P43" t="str">
        <f t="shared" si="4"/>
        <v/>
      </c>
    </row>
    <row r="44" spans="8:16" x14ac:dyDescent="0.3">
      <c r="L44" t="str">
        <f t="shared" si="1"/>
        <v/>
      </c>
      <c r="M44" t="str">
        <f t="shared" si="2"/>
        <v/>
      </c>
      <c r="O44" t="str">
        <f t="shared" si="3"/>
        <v/>
      </c>
      <c r="P44" t="str">
        <f t="shared" si="4"/>
        <v/>
      </c>
    </row>
    <row r="45" spans="8:16" x14ac:dyDescent="0.3">
      <c r="L45" t="str">
        <f t="shared" si="1"/>
        <v/>
      </c>
      <c r="M45" t="str">
        <f t="shared" si="2"/>
        <v/>
      </c>
      <c r="O45" t="str">
        <f t="shared" si="3"/>
        <v/>
      </c>
      <c r="P45" t="str">
        <f t="shared" si="4"/>
        <v/>
      </c>
    </row>
    <row r="46" spans="8:16" x14ac:dyDescent="0.3">
      <c r="L46" t="str">
        <f t="shared" si="1"/>
        <v/>
      </c>
      <c r="M46" t="str">
        <f t="shared" si="2"/>
        <v/>
      </c>
      <c r="O46" t="str">
        <f t="shared" si="3"/>
        <v/>
      </c>
      <c r="P46" t="str">
        <f t="shared" si="4"/>
        <v/>
      </c>
    </row>
    <row r="47" spans="8:16" x14ac:dyDescent="0.3">
      <c r="L47" t="str">
        <f t="shared" si="1"/>
        <v/>
      </c>
      <c r="M47" t="str">
        <f t="shared" si="2"/>
        <v/>
      </c>
      <c r="O47" t="str">
        <f t="shared" si="3"/>
        <v/>
      </c>
      <c r="P47" t="str">
        <f t="shared" si="4"/>
        <v/>
      </c>
    </row>
    <row r="48" spans="8:16" x14ac:dyDescent="0.3">
      <c r="L48" t="str">
        <f t="shared" si="1"/>
        <v/>
      </c>
      <c r="M48" t="str">
        <f t="shared" si="2"/>
        <v/>
      </c>
      <c r="O48" t="str">
        <f t="shared" si="3"/>
        <v/>
      </c>
      <c r="P48" t="str">
        <f t="shared" si="4"/>
        <v/>
      </c>
    </row>
    <row r="49" spans="12:16" x14ac:dyDescent="0.3">
      <c r="L49" t="str">
        <f t="shared" si="1"/>
        <v/>
      </c>
      <c r="M49" t="str">
        <f t="shared" si="2"/>
        <v/>
      </c>
      <c r="O49" t="str">
        <f t="shared" si="3"/>
        <v/>
      </c>
      <c r="P49" t="str">
        <f t="shared" si="4"/>
        <v/>
      </c>
    </row>
    <row r="50" spans="12:16" x14ac:dyDescent="0.3">
      <c r="L50" t="str">
        <f t="shared" si="1"/>
        <v/>
      </c>
      <c r="M50" t="str">
        <f t="shared" si="2"/>
        <v/>
      </c>
      <c r="O50" t="str">
        <f t="shared" si="3"/>
        <v/>
      </c>
      <c r="P50" t="str">
        <f t="shared" si="4"/>
        <v/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156C4-D780-4AF4-81FE-0216F154F497}">
  <dimension ref="A1:U26"/>
  <sheetViews>
    <sheetView tabSelected="1" topLeftCell="O1" zoomScale="115" zoomScaleNormal="115" workbookViewId="0">
      <selection activeCell="P1" sqref="P1:Q14"/>
    </sheetView>
  </sheetViews>
  <sheetFormatPr defaultRowHeight="14.4" x14ac:dyDescent="0.3"/>
  <cols>
    <col min="1" max="1" width="12.109375" customWidth="1"/>
    <col min="2" max="2" width="23.88671875" customWidth="1"/>
    <col min="3" max="3" width="17.6640625" customWidth="1"/>
    <col min="4" max="4" width="22.44140625" customWidth="1"/>
    <col min="5" max="5" width="21.44140625" customWidth="1"/>
    <col min="6" max="6" width="19.109375" customWidth="1"/>
    <col min="7" max="7" width="22.109375" customWidth="1"/>
    <col min="8" max="8" width="26.6640625" bestFit="1" customWidth="1"/>
    <col min="9" max="9" width="24.77734375" customWidth="1"/>
    <col min="10" max="10" width="25.44140625" bestFit="1" customWidth="1"/>
    <col min="11" max="11" width="15.33203125" customWidth="1"/>
    <col min="12" max="12" width="27.77734375" bestFit="1" customWidth="1"/>
    <col min="13" max="13" width="27" bestFit="1" customWidth="1"/>
    <col min="15" max="15" width="14.33203125" bestFit="1" customWidth="1"/>
    <col min="16" max="16" width="21.109375" bestFit="1" customWidth="1"/>
    <col min="17" max="18" width="12.5546875" bestFit="1" customWidth="1"/>
    <col min="19" max="19" width="21.109375" bestFit="1" customWidth="1"/>
    <col min="20" max="21" width="21.109375" customWidth="1"/>
  </cols>
  <sheetData>
    <row r="1" spans="1:21" x14ac:dyDescent="0.3">
      <c r="A1" t="s">
        <v>11</v>
      </c>
      <c r="B1" t="s">
        <v>21</v>
      </c>
      <c r="C1" t="s">
        <v>12</v>
      </c>
      <c r="D1" t="s">
        <v>22</v>
      </c>
      <c r="E1" t="s">
        <v>20</v>
      </c>
      <c r="F1" t="s">
        <v>13</v>
      </c>
      <c r="G1" t="s">
        <v>23</v>
      </c>
      <c r="H1" t="s">
        <v>30</v>
      </c>
      <c r="I1" t="s">
        <v>25</v>
      </c>
      <c r="J1" t="s">
        <v>24</v>
      </c>
      <c r="K1" t="s">
        <v>16</v>
      </c>
      <c r="L1" t="s">
        <v>29</v>
      </c>
      <c r="M1" t="s">
        <v>34</v>
      </c>
      <c r="P1" s="9" t="s">
        <v>14</v>
      </c>
      <c r="Q1" s="10"/>
    </row>
    <row r="2" spans="1:21" x14ac:dyDescent="0.3">
      <c r="A2">
        <v>57</v>
      </c>
      <c r="B2">
        <f t="shared" ref="B2:B16" si="0">A2*$Q$5</f>
        <v>4.75</v>
      </c>
      <c r="C2">
        <f t="shared" ref="C2:C16" si="1">B2/$Q$2</f>
        <v>25333.333333333332</v>
      </c>
      <c r="D2">
        <v>56.325000000000003</v>
      </c>
      <c r="E2">
        <f t="shared" ref="E2:E16" si="2">D2*$Q$5</f>
        <v>4.6937499999999996</v>
      </c>
      <c r="F2">
        <f>Table4[[#This Row],[Actual Divided Voltage]]/$Q$2</f>
        <v>25033.333333333332</v>
      </c>
      <c r="G2">
        <f t="shared" ref="G2:G16" si="3">A2-D2</f>
        <v>0.67499999999999716</v>
      </c>
      <c r="H2">
        <f>Table4[[#This Row],[Multimeter]]*$Q$9</f>
        <v>4.6941010796432483</v>
      </c>
      <c r="I2">
        <f>$Q$10+Table4[[#This Row],[Adjusted Voltage]]/$Q$2</f>
        <v>24746.205758097323</v>
      </c>
      <c r="J2">
        <f>Table4[[#This Row],[Expected Divided Voltage]]-Table4[[#This Row],[Actual Divided Voltage]]</f>
        <v>5.6250000000000355E-2</v>
      </c>
      <c r="K2">
        <f t="shared" ref="K2:K16" si="4">C2-F2</f>
        <v>300</v>
      </c>
      <c r="L2">
        <f>Table4[[#This Row],[Adjusted Voltage]]-Table4[[#This Row],[Actual Divided Voltage]]</f>
        <v>3.5107964324865293E-4</v>
      </c>
      <c r="M2">
        <f>Table4[[#This Row],[Adjusted Reading]]-Table4[[#This Row],[Actual ADC Reading]]</f>
        <v>-287.12757523600885</v>
      </c>
      <c r="P2" s="7" t="s">
        <v>15</v>
      </c>
      <c r="Q2" s="8">
        <v>1.875E-4</v>
      </c>
    </row>
    <row r="3" spans="1:21" x14ac:dyDescent="0.3">
      <c r="A3">
        <v>56.3</v>
      </c>
      <c r="B3">
        <f t="shared" si="0"/>
        <v>4.6916666666666664</v>
      </c>
      <c r="C3">
        <f t="shared" si="1"/>
        <v>25022.222222222219</v>
      </c>
      <c r="D3">
        <v>55.610999999999997</v>
      </c>
      <c r="E3">
        <f t="shared" si="2"/>
        <v>4.6342499999999998</v>
      </c>
      <c r="F3">
        <f>Table4[[#This Row],[Actual Divided Voltage]]/$Q$2</f>
        <v>24716</v>
      </c>
      <c r="G3">
        <f t="shared" si="3"/>
        <v>0.68900000000000006</v>
      </c>
      <c r="H3">
        <f>Table4[[#This Row],[Multimeter]]*$Q$9</f>
        <v>4.6364542242792082</v>
      </c>
      <c r="I3">
        <f>$Q$10+Table4[[#This Row],[Adjusted Voltage]]/$Q$2</f>
        <v>24438.755862822443</v>
      </c>
      <c r="J3">
        <f>Table4[[#This Row],[Expected Divided Voltage]]-Table4[[#This Row],[Actual Divided Voltage]]</f>
        <v>5.7416666666666671E-2</v>
      </c>
      <c r="K3">
        <f t="shared" si="4"/>
        <v>306.22222222221899</v>
      </c>
      <c r="L3">
        <f>Table4[[#This Row],[Adjusted Voltage]]-Table4[[#This Row],[Actual Divided Voltage]]</f>
        <v>2.204224279208411E-3</v>
      </c>
      <c r="M3">
        <f>Table4[[#This Row],[Adjusted Reading]]-Table4[[#This Row],[Actual ADC Reading]]</f>
        <v>-277.24413717755669</v>
      </c>
      <c r="P3" s="7" t="s">
        <v>17</v>
      </c>
      <c r="Q3" s="7">
        <v>110</v>
      </c>
    </row>
    <row r="4" spans="1:21" x14ac:dyDescent="0.3">
      <c r="A4">
        <v>56.3</v>
      </c>
      <c r="B4">
        <f t="shared" si="0"/>
        <v>4.6916666666666664</v>
      </c>
      <c r="C4">
        <f t="shared" si="1"/>
        <v>25022.222222222219</v>
      </c>
      <c r="D4">
        <v>55.624499999999998</v>
      </c>
      <c r="E4">
        <f t="shared" si="2"/>
        <v>4.6353749999999998</v>
      </c>
      <c r="F4">
        <f>Table4[[#This Row],[Actual Divided Voltage]]/$Q$2</f>
        <v>24722</v>
      </c>
      <c r="G4">
        <f t="shared" si="3"/>
        <v>0.67549999999999955</v>
      </c>
      <c r="H4">
        <f>Table4[[#This Row],[Multimeter]]*$Q$9</f>
        <v>4.6364542242792082</v>
      </c>
      <c r="I4">
        <f>$Q$10+Table4[[#This Row],[Adjusted Voltage]]/$Q$2</f>
        <v>24438.755862822443</v>
      </c>
      <c r="J4">
        <f>Table4[[#This Row],[Expected Divided Voltage]]-Table4[[#This Row],[Actual Divided Voltage]]</f>
        <v>5.6291666666666629E-2</v>
      </c>
      <c r="K4">
        <f t="shared" si="4"/>
        <v>300.22222222221899</v>
      </c>
      <c r="L4">
        <f>Table4[[#This Row],[Adjusted Voltage]]-Table4[[#This Row],[Actual Divided Voltage]]</f>
        <v>1.0792242792083684E-3</v>
      </c>
      <c r="M4">
        <f>Table4[[#This Row],[Adjusted Reading]]-Table4[[#This Row],[Actual ADC Reading]]</f>
        <v>-283.24413717755669</v>
      </c>
      <c r="P4" s="7" t="s">
        <v>18</v>
      </c>
      <c r="Q4" s="7">
        <v>10</v>
      </c>
    </row>
    <row r="5" spans="1:21" x14ac:dyDescent="0.3">
      <c r="A5">
        <v>56.2</v>
      </c>
      <c r="B5">
        <f t="shared" si="0"/>
        <v>4.6833333333333336</v>
      </c>
      <c r="C5">
        <f t="shared" si="1"/>
        <v>24977.777777777777</v>
      </c>
      <c r="D5">
        <v>55.557000000000002</v>
      </c>
      <c r="E5">
        <f t="shared" si="2"/>
        <v>4.6297499999999996</v>
      </c>
      <c r="F5">
        <f>Table4[[#This Row],[Actual Divided Voltage]]/$Q$2</f>
        <v>24691.999999999996</v>
      </c>
      <c r="G5">
        <f t="shared" si="3"/>
        <v>0.64300000000000068</v>
      </c>
      <c r="H5">
        <f>Table4[[#This Row],[Multimeter]]*$Q$9</f>
        <v>4.6282189592272029</v>
      </c>
      <c r="I5">
        <f>$Q$10+Table4[[#This Row],[Adjusted Voltage]]/$Q$2</f>
        <v>24394.83444921175</v>
      </c>
      <c r="J5">
        <f>Table4[[#This Row],[Expected Divided Voltage]]-Table4[[#This Row],[Actual Divided Voltage]]</f>
        <v>5.3583333333333982E-2</v>
      </c>
      <c r="K5">
        <f t="shared" si="4"/>
        <v>285.77777777778101</v>
      </c>
      <c r="L5">
        <f>Table4[[#This Row],[Adjusted Voltage]]-Table4[[#This Row],[Actual Divided Voltage]]</f>
        <v>-1.5310407727966435E-3</v>
      </c>
      <c r="M5">
        <f>Table4[[#This Row],[Adjusted Reading]]-Table4[[#This Row],[Actual ADC Reading]]</f>
        <v>-297.16555078824604</v>
      </c>
      <c r="P5" s="7" t="s">
        <v>19</v>
      </c>
      <c r="Q5" s="7">
        <f>Q4/(Q4+Q3)</f>
        <v>8.3333333333333329E-2</v>
      </c>
    </row>
    <row r="6" spans="1:21" x14ac:dyDescent="0.3">
      <c r="A6">
        <v>56.2</v>
      </c>
      <c r="B6">
        <f t="shared" si="0"/>
        <v>4.6833333333333336</v>
      </c>
      <c r="C6">
        <f t="shared" si="1"/>
        <v>24977.777777777777</v>
      </c>
      <c r="D6">
        <v>55.58625</v>
      </c>
      <c r="E6">
        <f t="shared" si="2"/>
        <v>4.6321874999999997</v>
      </c>
      <c r="F6">
        <f>Table4[[#This Row],[Actual Divided Voltage]]/$Q$2</f>
        <v>24704.999999999996</v>
      </c>
      <c r="G6">
        <f t="shared" si="3"/>
        <v>0.61375000000000313</v>
      </c>
      <c r="H6">
        <f>Table4[[#This Row],[Multimeter]]*$Q$9</f>
        <v>4.6282189592272029</v>
      </c>
      <c r="I6">
        <f>$Q$10+Table4[[#This Row],[Adjusted Voltage]]/$Q$2</f>
        <v>24394.83444921175</v>
      </c>
      <c r="J6">
        <f>Table4[[#This Row],[Expected Divided Voltage]]-Table4[[#This Row],[Actual Divided Voltage]]</f>
        <v>5.114583333333389E-2</v>
      </c>
      <c r="K6">
        <f t="shared" si="4"/>
        <v>272.77777777778101</v>
      </c>
      <c r="L6">
        <f>Table4[[#This Row],[Adjusted Voltage]]-Table4[[#This Row],[Actual Divided Voltage]]</f>
        <v>-3.9685407727967359E-3</v>
      </c>
      <c r="M6">
        <f>Table4[[#This Row],[Adjusted Reading]]-Table4[[#This Row],[Actual ADC Reading]]</f>
        <v>-310.16555078824604</v>
      </c>
    </row>
    <row r="7" spans="1:21" x14ac:dyDescent="0.3">
      <c r="A7">
        <v>55.8</v>
      </c>
      <c r="B7">
        <f t="shared" si="0"/>
        <v>4.6499999999999995</v>
      </c>
      <c r="C7">
        <f t="shared" si="1"/>
        <v>24799.999999999996</v>
      </c>
      <c r="D7">
        <v>55.094999999999999</v>
      </c>
      <c r="E7">
        <f t="shared" si="2"/>
        <v>4.5912499999999996</v>
      </c>
      <c r="F7">
        <f>Table4[[#This Row],[Actual Divided Voltage]]/$Q$2</f>
        <v>24486.666666666664</v>
      </c>
      <c r="G7">
        <f t="shared" si="3"/>
        <v>0.70499999999999829</v>
      </c>
      <c r="H7">
        <f>Table4[[#This Row],[Multimeter]]*$Q$9</f>
        <v>4.5952778990191794</v>
      </c>
      <c r="I7">
        <f>$Q$10+Table4[[#This Row],[Adjusted Voltage]]/$Q$2</f>
        <v>24219.148794768957</v>
      </c>
      <c r="J7">
        <f>Table4[[#This Row],[Expected Divided Voltage]]-Table4[[#This Row],[Actual Divided Voltage]]</f>
        <v>5.8749999999999858E-2</v>
      </c>
      <c r="K7">
        <f t="shared" si="4"/>
        <v>313.33333333333212</v>
      </c>
      <c r="L7">
        <f>Table4[[#This Row],[Adjusted Voltage]]-Table4[[#This Row],[Actual Divided Voltage]]</f>
        <v>4.0278990191797703E-3</v>
      </c>
      <c r="M7">
        <f>Table4[[#This Row],[Adjusted Reading]]-Table4[[#This Row],[Actual ADC Reading]]</f>
        <v>-267.51787189770766</v>
      </c>
      <c r="P7" s="7" t="s">
        <v>26</v>
      </c>
      <c r="Q7" s="7">
        <v>111429</v>
      </c>
      <c r="R7" t="s">
        <v>36</v>
      </c>
    </row>
    <row r="8" spans="1:21" x14ac:dyDescent="0.3">
      <c r="A8">
        <v>55.4</v>
      </c>
      <c r="B8">
        <f t="shared" si="0"/>
        <v>4.6166666666666663</v>
      </c>
      <c r="C8">
        <f t="shared" si="1"/>
        <v>24622.222222222219</v>
      </c>
      <c r="D8">
        <v>54.84</v>
      </c>
      <c r="E8">
        <f t="shared" si="2"/>
        <v>4.57</v>
      </c>
      <c r="F8">
        <f>Table4[[#This Row],[Actual Divided Voltage]]/$Q$2</f>
        <v>24373.333333333336</v>
      </c>
      <c r="G8">
        <f t="shared" si="3"/>
        <v>0.55999999999999517</v>
      </c>
      <c r="H8">
        <f>Table4[[#This Row],[Multimeter]]*$Q$9</f>
        <v>4.5623368388111567</v>
      </c>
      <c r="I8">
        <f>$Q$10+Table4[[#This Row],[Adjusted Voltage]]/$Q$2</f>
        <v>24043.46314032617</v>
      </c>
      <c r="J8">
        <f>Table4[[#This Row],[Expected Divided Voltage]]-Table4[[#This Row],[Actual Divided Voltage]]</f>
        <v>4.6666666666665968E-2</v>
      </c>
      <c r="K8">
        <f t="shared" si="4"/>
        <v>248.88888888888323</v>
      </c>
      <c r="L8">
        <f>Table4[[#This Row],[Adjusted Voltage]]-Table4[[#This Row],[Actual Divided Voltage]]</f>
        <v>-7.6631611888435813E-3</v>
      </c>
      <c r="M8">
        <f>Table4[[#This Row],[Adjusted Reading]]-Table4[[#This Row],[Actual ADC Reading]]</f>
        <v>-329.87019300716565</v>
      </c>
      <c r="P8" s="7" t="s">
        <v>27</v>
      </c>
      <c r="Q8" s="7">
        <v>10000</v>
      </c>
    </row>
    <row r="9" spans="1:21" x14ac:dyDescent="0.3">
      <c r="A9">
        <v>55.3</v>
      </c>
      <c r="B9">
        <f t="shared" si="0"/>
        <v>4.6083333333333325</v>
      </c>
      <c r="C9">
        <f t="shared" si="1"/>
        <v>24577.777777777774</v>
      </c>
      <c r="D9">
        <v>54.641249999999999</v>
      </c>
      <c r="E9">
        <f t="shared" si="2"/>
        <v>4.5534374999999994</v>
      </c>
      <c r="F9">
        <f>Table4[[#This Row],[Actual Divided Voltage]]/$Q$2</f>
        <v>24284.999999999996</v>
      </c>
      <c r="G9">
        <f t="shared" si="3"/>
        <v>0.65874999999999773</v>
      </c>
      <c r="H9">
        <f>Table4[[#This Row],[Multimeter]]*$Q$9</f>
        <v>4.5541015737591506</v>
      </c>
      <c r="I9">
        <f>$Q$10+Table4[[#This Row],[Adjusted Voltage]]/$Q$2</f>
        <v>23999.54172671547</v>
      </c>
      <c r="J9">
        <f>Table4[[#This Row],[Expected Divided Voltage]]-Table4[[#This Row],[Actual Divided Voltage]]</f>
        <v>5.4895833333333144E-2</v>
      </c>
      <c r="K9">
        <f t="shared" si="4"/>
        <v>292.77777777777737</v>
      </c>
      <c r="L9">
        <f>Table4[[#This Row],[Adjusted Voltage]]-Table4[[#This Row],[Actual Divided Voltage]]</f>
        <v>6.6407375915122913E-4</v>
      </c>
      <c r="M9">
        <f>Table4[[#This Row],[Adjusted Reading]]-Table4[[#This Row],[Actual ADC Reading]]</f>
        <v>-285.45827328452651</v>
      </c>
      <c r="P9" s="7" t="s">
        <v>35</v>
      </c>
      <c r="Q9">
        <f>Q8/(Q8+Q7)</f>
        <v>8.2352650520056983E-2</v>
      </c>
      <c r="R9" s="7">
        <v>8.2352999999999996E-2</v>
      </c>
    </row>
    <row r="10" spans="1:21" x14ac:dyDescent="0.3">
      <c r="A10">
        <v>55.3</v>
      </c>
      <c r="B10">
        <f t="shared" si="0"/>
        <v>4.6083333333333325</v>
      </c>
      <c r="C10">
        <f t="shared" si="1"/>
        <v>24577.777777777774</v>
      </c>
      <c r="D10">
        <v>54.683999999999997</v>
      </c>
      <c r="E10">
        <f t="shared" si="2"/>
        <v>4.5569999999999995</v>
      </c>
      <c r="F10">
        <f>Table4[[#This Row],[Actual Divided Voltage]]/$Q$2</f>
        <v>24303.999999999996</v>
      </c>
      <c r="G10">
        <f t="shared" si="3"/>
        <v>0.61599999999999966</v>
      </c>
      <c r="H10">
        <f>Table4[[#This Row],[Multimeter]]*$Q$9</f>
        <v>4.5541015737591506</v>
      </c>
      <c r="I10">
        <f>$Q$10+Table4[[#This Row],[Adjusted Voltage]]/$Q$2</f>
        <v>23999.54172671547</v>
      </c>
      <c r="J10">
        <f>Table4[[#This Row],[Expected Divided Voltage]]-Table4[[#This Row],[Actual Divided Voltage]]</f>
        <v>5.1333333333333009E-2</v>
      </c>
      <c r="K10">
        <f t="shared" si="4"/>
        <v>273.77777777777737</v>
      </c>
      <c r="L10">
        <f>Table4[[#This Row],[Adjusted Voltage]]-Table4[[#This Row],[Actual Divided Voltage]]</f>
        <v>-2.8984262408489059E-3</v>
      </c>
      <c r="M10">
        <f>Table4[[#This Row],[Adjusted Reading]]-Table4[[#This Row],[Actual ADC Reading]]</f>
        <v>-304.45827328452651</v>
      </c>
      <c r="P10" s="7" t="s">
        <v>28</v>
      </c>
      <c r="Q10" s="7">
        <v>-289</v>
      </c>
      <c r="T10" s="6"/>
      <c r="U10" s="6"/>
    </row>
    <row r="11" spans="1:21" x14ac:dyDescent="0.3">
      <c r="A11">
        <v>55.3</v>
      </c>
      <c r="B11">
        <f t="shared" si="0"/>
        <v>4.6083333333333325</v>
      </c>
      <c r="C11">
        <f t="shared" si="1"/>
        <v>24577.777777777774</v>
      </c>
      <c r="D11">
        <v>54.704250000000002</v>
      </c>
      <c r="E11">
        <f t="shared" si="2"/>
        <v>4.5586874999999996</v>
      </c>
      <c r="F11">
        <f>Table4[[#This Row],[Actual Divided Voltage]]/$Q$2</f>
        <v>24312.999999999996</v>
      </c>
      <c r="G11">
        <f t="shared" si="3"/>
        <v>0.59574999999999534</v>
      </c>
      <c r="H11">
        <f>Table4[[#This Row],[Multimeter]]*$Q$9</f>
        <v>4.5541015737591506</v>
      </c>
      <c r="I11">
        <f>$Q$10+Table4[[#This Row],[Adjusted Voltage]]/$Q$2</f>
        <v>23999.54172671547</v>
      </c>
      <c r="J11">
        <f>Table4[[#This Row],[Expected Divided Voltage]]-Table4[[#This Row],[Actual Divided Voltage]]</f>
        <v>4.9645833333332945E-2</v>
      </c>
      <c r="K11">
        <f t="shared" si="4"/>
        <v>264.77777777777737</v>
      </c>
      <c r="L11">
        <f>Table4[[#This Row],[Adjusted Voltage]]-Table4[[#This Row],[Actual Divided Voltage]]</f>
        <v>-4.5859262408489698E-3</v>
      </c>
      <c r="M11">
        <f>Table4[[#This Row],[Adjusted Reading]]-Table4[[#This Row],[Actual ADC Reading]]</f>
        <v>-313.45827328452651</v>
      </c>
    </row>
    <row r="12" spans="1:21" x14ac:dyDescent="0.3">
      <c r="A12">
        <v>54.8</v>
      </c>
      <c r="B12">
        <f t="shared" si="0"/>
        <v>4.5666666666666664</v>
      </c>
      <c r="C12">
        <f t="shared" si="1"/>
        <v>24355.555555555555</v>
      </c>
      <c r="D12">
        <v>54.065249999999999</v>
      </c>
      <c r="E12">
        <f t="shared" si="2"/>
        <v>4.5054374999999993</v>
      </c>
      <c r="F12">
        <f>Table4[[#This Row],[Actual Divided Voltage]]/$Q$2</f>
        <v>24028.999999999996</v>
      </c>
      <c r="G12">
        <f t="shared" si="3"/>
        <v>0.73474999999999824</v>
      </c>
      <c r="H12">
        <f>Table4[[#This Row],[Multimeter]]*$Q$9</f>
        <v>4.5129252484991227</v>
      </c>
      <c r="I12">
        <f>$Q$10+Table4[[#This Row],[Adjusted Voltage]]/$Q$2</f>
        <v>23779.934658661987</v>
      </c>
      <c r="J12">
        <f>Table4[[#This Row],[Expected Divided Voltage]]-Table4[[#This Row],[Actual Divided Voltage]]</f>
        <v>6.1229166666667112E-2</v>
      </c>
      <c r="K12">
        <f t="shared" si="4"/>
        <v>326.55555555555839</v>
      </c>
      <c r="L12">
        <f>Table4[[#This Row],[Adjusted Voltage]]-Table4[[#This Row],[Actual Divided Voltage]]</f>
        <v>7.48774849912337E-3</v>
      </c>
      <c r="M12">
        <f>Table4[[#This Row],[Adjusted Reading]]-Table4[[#This Row],[Actual ADC Reading]]</f>
        <v>-249.0653413380096</v>
      </c>
    </row>
    <row r="13" spans="1:21" x14ac:dyDescent="0.3">
      <c r="A13">
        <v>54.6</v>
      </c>
      <c r="B13">
        <f t="shared" si="0"/>
        <v>4.55</v>
      </c>
      <c r="C13">
        <f t="shared" si="1"/>
        <v>24266.666666666664</v>
      </c>
      <c r="D13">
        <v>53.939250000000001</v>
      </c>
      <c r="E13">
        <f t="shared" si="2"/>
        <v>4.4949374999999998</v>
      </c>
      <c r="F13">
        <f>Table4[[#This Row],[Actual Divided Voltage]]/$Q$2</f>
        <v>23973</v>
      </c>
      <c r="G13">
        <f t="shared" si="3"/>
        <v>0.66075000000000017</v>
      </c>
      <c r="H13">
        <f>Table4[[#This Row],[Multimeter]]*$Q$9</f>
        <v>4.4964547183951113</v>
      </c>
      <c r="I13">
        <f>$Q$10+Table4[[#This Row],[Adjusted Voltage]]/$Q$2</f>
        <v>23692.091831440594</v>
      </c>
      <c r="J13">
        <f>Table4[[#This Row],[Expected Divided Voltage]]-Table4[[#This Row],[Actual Divided Voltage]]</f>
        <v>5.5062500000000014E-2</v>
      </c>
      <c r="K13">
        <f t="shared" si="4"/>
        <v>293.66666666666424</v>
      </c>
      <c r="L13">
        <f>Table4[[#This Row],[Adjusted Voltage]]-Table4[[#This Row],[Actual Divided Voltage]]</f>
        <v>1.5172183951115414E-3</v>
      </c>
      <c r="M13">
        <f>Table4[[#This Row],[Adjusted Reading]]-Table4[[#This Row],[Actual ADC Reading]]</f>
        <v>-280.90816855940648</v>
      </c>
      <c r="P13" s="7" t="s">
        <v>31</v>
      </c>
      <c r="Q13" s="7">
        <f>AVERAGE(Table4[Adjusted Voltage Difference])</f>
        <v>-1.2416206178045287E-5</v>
      </c>
    </row>
    <row r="14" spans="1:21" x14ac:dyDescent="0.3">
      <c r="A14">
        <v>54.6</v>
      </c>
      <c r="B14">
        <f t="shared" si="0"/>
        <v>4.55</v>
      </c>
      <c r="C14">
        <f t="shared" si="1"/>
        <v>24266.666666666664</v>
      </c>
      <c r="D14">
        <v>54.020249999999997</v>
      </c>
      <c r="E14">
        <f t="shared" si="2"/>
        <v>4.5016874999999992</v>
      </c>
      <c r="F14">
        <f>Table4[[#This Row],[Actual Divided Voltage]]/$Q$2</f>
        <v>24008.999999999996</v>
      </c>
      <c r="G14">
        <f t="shared" si="3"/>
        <v>0.57975000000000421</v>
      </c>
      <c r="H14">
        <f>Table4[[#This Row],[Multimeter]]*$Q$9</f>
        <v>4.4964547183951113</v>
      </c>
      <c r="I14">
        <f>$Q$10+Table4[[#This Row],[Adjusted Voltage]]/$Q$2</f>
        <v>23692.091831440594</v>
      </c>
      <c r="J14">
        <f>Table4[[#This Row],[Expected Divided Voltage]]-Table4[[#This Row],[Actual Divided Voltage]]</f>
        <v>4.8312500000000647E-2</v>
      </c>
      <c r="K14">
        <f t="shared" si="4"/>
        <v>257.66666666666788</v>
      </c>
      <c r="L14">
        <f>Table4[[#This Row],[Adjusted Voltage]]-Table4[[#This Row],[Actual Divided Voltage]]</f>
        <v>-5.2327816048878262E-3</v>
      </c>
      <c r="M14">
        <f>Table4[[#This Row],[Adjusted Reading]]-Table4[[#This Row],[Actual ADC Reading]]</f>
        <v>-316.90816855940284</v>
      </c>
      <c r="P14" s="7" t="s">
        <v>33</v>
      </c>
      <c r="Q14" s="7">
        <f>AVERAGE(Table4[Adjusted Reading Difference])</f>
        <v>-289.06621976628304</v>
      </c>
    </row>
    <row r="15" spans="1:21" x14ac:dyDescent="0.3">
      <c r="A15">
        <v>53.8</v>
      </c>
      <c r="B15">
        <f t="shared" si="0"/>
        <v>4.4833333333333325</v>
      </c>
      <c r="C15">
        <f t="shared" si="1"/>
        <v>23911.111111111106</v>
      </c>
      <c r="D15">
        <v>53.091000000000001</v>
      </c>
      <c r="E15">
        <f t="shared" si="2"/>
        <v>4.4242499999999998</v>
      </c>
      <c r="F15">
        <f>Table4[[#This Row],[Actual Divided Voltage]]/$Q$2</f>
        <v>23596</v>
      </c>
      <c r="G15">
        <f t="shared" si="3"/>
        <v>0.70899999999999608</v>
      </c>
      <c r="H15">
        <f>Table4[[#This Row],[Multimeter]]*$Q$9</f>
        <v>4.4305725979790651</v>
      </c>
      <c r="I15">
        <f>$Q$10+Table4[[#This Row],[Adjusted Voltage]]/$Q$2</f>
        <v>23340.720522555013</v>
      </c>
      <c r="J15">
        <f>Table4[[#This Row],[Expected Divided Voltage]]-Table4[[#This Row],[Actual Divided Voltage]]</f>
        <v>5.908333333333271E-2</v>
      </c>
      <c r="K15">
        <f t="shared" si="4"/>
        <v>315.11111111110586</v>
      </c>
      <c r="L15">
        <f>Table4[[#This Row],[Adjusted Voltage]]-Table4[[#This Row],[Actual Divided Voltage]]</f>
        <v>6.3225979790653142E-3</v>
      </c>
      <c r="M15">
        <f>Table4[[#This Row],[Adjusted Reading]]-Table4[[#This Row],[Actual ADC Reading]]</f>
        <v>-255.2794774449867</v>
      </c>
    </row>
    <row r="16" spans="1:21" x14ac:dyDescent="0.3">
      <c r="A16">
        <v>53.6</v>
      </c>
      <c r="B16">
        <f t="shared" si="0"/>
        <v>4.4666666666666668</v>
      </c>
      <c r="C16">
        <f t="shared" si="1"/>
        <v>23822.222222222223</v>
      </c>
      <c r="D16">
        <v>52.944749999999999</v>
      </c>
      <c r="E16">
        <f t="shared" si="2"/>
        <v>4.4120624999999993</v>
      </c>
      <c r="F16">
        <f>Table4[[#This Row],[Actual Divided Voltage]]/$Q$2</f>
        <v>23530.999999999996</v>
      </c>
      <c r="G16">
        <f t="shared" si="3"/>
        <v>0.65525000000000233</v>
      </c>
      <c r="H16">
        <f>Table4[[#This Row],[Multimeter]]*$Q$9</f>
        <v>4.4141020678750547</v>
      </c>
      <c r="I16">
        <f>$Q$10+Table4[[#This Row],[Adjusted Voltage]]/$Q$2</f>
        <v>23252.877695333624</v>
      </c>
      <c r="J16">
        <f>Table4[[#This Row],[Expected Divided Voltage]]-Table4[[#This Row],[Actual Divided Voltage]]</f>
        <v>5.4604166666667453E-2</v>
      </c>
      <c r="K16">
        <f t="shared" si="4"/>
        <v>291.22222222222626</v>
      </c>
      <c r="L16">
        <f>Table4[[#This Row],[Adjusted Voltage]]-Table4[[#This Row],[Actual Divided Voltage]]</f>
        <v>2.0395678750553259E-3</v>
      </c>
      <c r="M16">
        <f>Table4[[#This Row],[Adjusted Reading]]-Table4[[#This Row],[Actual ADC Reading]]</f>
        <v>-278.12230466637266</v>
      </c>
    </row>
    <row r="17" spans="1:13" x14ac:dyDescent="0.3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25" spans="1:13" x14ac:dyDescent="0.3">
      <c r="A25" t="s">
        <v>32</v>
      </c>
    </row>
    <row r="26" spans="1:13" x14ac:dyDescent="0.3">
      <c r="A26" s="1">
        <v>58.4</v>
      </c>
      <c r="B26" s="2">
        <f>A26*$Q$5</f>
        <v>4.8666666666666663</v>
      </c>
      <c r="C26" s="2">
        <f t="shared" ref="C26" si="5">B26/$Q$2</f>
        <v>25955.555555555551</v>
      </c>
      <c r="D26" s="2">
        <v>57.46725</v>
      </c>
      <c r="E26" s="2">
        <f>D26*$Q$5</f>
        <v>4.7889374999999994</v>
      </c>
      <c r="F26" s="2" t="e">
        <f>Table4[[#This Row],[Actual Divided Voltage]]/$Q$2</f>
        <v>#VALUE!</v>
      </c>
      <c r="G26" s="2">
        <f>A26-D26</f>
        <v>0.93274999999999864</v>
      </c>
      <c r="H26" s="2" t="e">
        <f>Table4[[#This Row],[Multimeter]]*$Q$9</f>
        <v>#VALUE!</v>
      </c>
      <c r="I26" s="2" t="e">
        <f>$Q$10+Table4[[#This Row],[Adjusted Voltage]]/$Q$2</f>
        <v>#VALUE!</v>
      </c>
      <c r="J26" s="2" t="e">
        <f>Table4[[#This Row],[Expected Divided Voltage]]-Table4[[#This Row],[Actual Divided Voltage]]</f>
        <v>#VALUE!</v>
      </c>
      <c r="K26" s="2" t="e">
        <f>C26-F26</f>
        <v>#VALUE!</v>
      </c>
      <c r="L26" s="2" t="e">
        <f>Table4[[#This Row],[Adjusted Voltage]]-Table4[[#This Row],[Actual Divided Voltage]]</f>
        <v>#VALUE!</v>
      </c>
      <c r="M26" s="3" t="e">
        <f>Table4[[#This Row],[Adjusted Reading]]-Table4[[#This Row],[Actual ADC Reading]]</f>
        <v>#VALUE!</v>
      </c>
    </row>
  </sheetData>
  <mergeCells count="1">
    <mergeCell ref="P1:Q1"/>
  </mergeCells>
  <pageMargins left="0.7" right="0.7" top="0.75" bottom="0.75" header="0.3" footer="0.3"/>
  <pageSetup orientation="portrait" verticalDpi="3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 Current Sensor</vt:lpstr>
      <vt:lpstr>Voltage Divider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 Qian Fu</dc:creator>
  <cp:lastModifiedBy>Kor Qian Fu</cp:lastModifiedBy>
  <dcterms:created xsi:type="dcterms:W3CDTF">2026-03-18T08:03:57Z</dcterms:created>
  <dcterms:modified xsi:type="dcterms:W3CDTF">2026-03-18T17:30:48Z</dcterms:modified>
</cp:coreProperties>
</file>