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roa-II-Electrical-Setup\Calibration\"/>
    </mc:Choice>
  </mc:AlternateContent>
  <xr:revisionPtr revIDLastSave="0" documentId="13_ncr:1_{85B24E68-F38F-4218-A717-E359A39D6F68}" xr6:coauthVersionLast="47" xr6:coauthVersionMax="47" xr10:uidLastSave="{00000000-0000-0000-0000-000000000000}"/>
  <bookViews>
    <workbookView xWindow="-108" yWindow="-108" windowWidth="30936" windowHeight="16776" activeTab="1" xr2:uid="{D441ABFB-7FD8-48AA-B09E-E56FC10E3D7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2" i="2"/>
  <c r="F4" i="1"/>
  <c r="F5" i="1"/>
  <c r="F6" i="1"/>
  <c r="F7" i="1"/>
  <c r="F8" i="1"/>
  <c r="F9" i="1"/>
  <c r="F10" i="1"/>
  <c r="F3" i="1"/>
  <c r="C4" i="1"/>
  <c r="C5" i="1"/>
  <c r="C6" i="1"/>
  <c r="C7" i="1"/>
  <c r="C8" i="1"/>
  <c r="C9" i="1"/>
  <c r="C10" i="1"/>
  <c r="C3" i="1"/>
</calcChain>
</file>

<file path=xl/sharedStrings.xml><?xml version="1.0" encoding="utf-8"?>
<sst xmlns="http://schemas.openxmlformats.org/spreadsheetml/2006/main" count="14" uniqueCount="12">
  <si>
    <t>ADS1115 Reading</t>
  </si>
  <si>
    <t>Resistance</t>
  </si>
  <si>
    <t>Voltage</t>
  </si>
  <si>
    <t>Current</t>
  </si>
  <si>
    <t>ADS_Reading</t>
  </si>
  <si>
    <t>ADS_Voltage</t>
  </si>
  <si>
    <t>Column1</t>
  </si>
  <si>
    <t>ADS Reading</t>
  </si>
  <si>
    <t>y</t>
  </si>
  <si>
    <t>x</t>
  </si>
  <si>
    <t>c</t>
  </si>
  <si>
    <t>Reading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</si>
</sst>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ADS_Reading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Sheet1!$C$3:$C$9</c:f>
              <c:numCache>
                <c:formatCode>General</c:formatCode>
                <c:ptCount val="7"/>
                <c:pt idx="0">
                  <c:v>48.6</c:v>
                </c:pt>
                <c:pt idx="1">
                  <c:v>41.000000000000007</c:v>
                </c:pt>
                <c:pt idx="2">
                  <c:v>31</c:v>
                </c:pt>
                <c:pt idx="3">
                  <c:v>22.545454545454543</c:v>
                </c:pt>
                <c:pt idx="4">
                  <c:v>23</c:v>
                </c:pt>
                <c:pt idx="5">
                  <c:v>25.5</c:v>
                </c:pt>
                <c:pt idx="6">
                  <c:v>31.625</c:v>
                </c:pt>
              </c:numCache>
            </c:numRef>
          </c:xVal>
          <c:yVal>
            <c:numRef>
              <c:f>Sheet1!$D$3:$D$9</c:f>
              <c:numCache>
                <c:formatCode>General</c:formatCode>
                <c:ptCount val="7"/>
                <c:pt idx="0">
                  <c:v>11088</c:v>
                </c:pt>
                <c:pt idx="1">
                  <c:v>9152</c:v>
                </c:pt>
                <c:pt idx="2">
                  <c:v>6848</c:v>
                </c:pt>
                <c:pt idx="3">
                  <c:v>5888</c:v>
                </c:pt>
                <c:pt idx="4">
                  <c:v>5440</c:v>
                </c:pt>
                <c:pt idx="5">
                  <c:v>6005</c:v>
                </c:pt>
                <c:pt idx="6">
                  <c:v>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91-4AC5-9C1D-FFC0A0C0A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640047"/>
        <c:axId val="459633807"/>
      </c:scatterChart>
      <c:valAx>
        <c:axId val="45964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633807"/>
        <c:crosses val="autoZero"/>
        <c:crossBetween val="midCat"/>
      </c:valAx>
      <c:valAx>
        <c:axId val="45963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64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ADS Reading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5723488683764644E-2"/>
                  <c:y val="5.675255467307696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Sheet2!$A$2:$A$52</c:f>
              <c:numCache>
                <c:formatCode>General</c:formatCode>
                <c:ptCount val="51"/>
                <c:pt idx="0" formatCode="0.00">
                  <c:v>55.2</c:v>
                </c:pt>
                <c:pt idx="1">
                  <c:v>52.8</c:v>
                </c:pt>
                <c:pt idx="2">
                  <c:v>52.4</c:v>
                </c:pt>
                <c:pt idx="3">
                  <c:v>53.6</c:v>
                </c:pt>
                <c:pt idx="4">
                  <c:v>53.9</c:v>
                </c:pt>
                <c:pt idx="5">
                  <c:v>54</c:v>
                </c:pt>
                <c:pt idx="6">
                  <c:v>54</c:v>
                </c:pt>
                <c:pt idx="7">
                  <c:v>51.8</c:v>
                </c:pt>
                <c:pt idx="8">
                  <c:v>51.5</c:v>
                </c:pt>
                <c:pt idx="9">
                  <c:v>53</c:v>
                </c:pt>
                <c:pt idx="10">
                  <c:v>53.1</c:v>
                </c:pt>
                <c:pt idx="11">
                  <c:v>53.1</c:v>
                </c:pt>
                <c:pt idx="12">
                  <c:v>50.9</c:v>
                </c:pt>
                <c:pt idx="13">
                  <c:v>52.1</c:v>
                </c:pt>
                <c:pt idx="14">
                  <c:v>52.3</c:v>
                </c:pt>
                <c:pt idx="15">
                  <c:v>52.4</c:v>
                </c:pt>
                <c:pt idx="16">
                  <c:v>50.9</c:v>
                </c:pt>
                <c:pt idx="17">
                  <c:v>50.4</c:v>
                </c:pt>
                <c:pt idx="18">
                  <c:v>50.2</c:v>
                </c:pt>
                <c:pt idx="19">
                  <c:v>51.4</c:v>
                </c:pt>
                <c:pt idx="20">
                  <c:v>51.7</c:v>
                </c:pt>
                <c:pt idx="21">
                  <c:v>51.8</c:v>
                </c:pt>
                <c:pt idx="22">
                  <c:v>49.8</c:v>
                </c:pt>
                <c:pt idx="23">
                  <c:v>49.6</c:v>
                </c:pt>
                <c:pt idx="24">
                  <c:v>51.2</c:v>
                </c:pt>
                <c:pt idx="25">
                  <c:v>51.2</c:v>
                </c:pt>
                <c:pt idx="26">
                  <c:v>51.3</c:v>
                </c:pt>
                <c:pt idx="27">
                  <c:v>49.5</c:v>
                </c:pt>
                <c:pt idx="28">
                  <c:v>50.7</c:v>
                </c:pt>
                <c:pt idx="29">
                  <c:v>50.8</c:v>
                </c:pt>
                <c:pt idx="30">
                  <c:v>50</c:v>
                </c:pt>
                <c:pt idx="31">
                  <c:v>50.2</c:v>
                </c:pt>
                <c:pt idx="32">
                  <c:v>48.1</c:v>
                </c:pt>
                <c:pt idx="33">
                  <c:v>49.4</c:v>
                </c:pt>
                <c:pt idx="34">
                  <c:v>49.4</c:v>
                </c:pt>
                <c:pt idx="35">
                  <c:v>47.6</c:v>
                </c:pt>
                <c:pt idx="36">
                  <c:v>49.1</c:v>
                </c:pt>
                <c:pt idx="37">
                  <c:v>45.1</c:v>
                </c:pt>
                <c:pt idx="38">
                  <c:v>46.7</c:v>
                </c:pt>
                <c:pt idx="39">
                  <c:v>48.2</c:v>
                </c:pt>
                <c:pt idx="40">
                  <c:v>21.3</c:v>
                </c:pt>
                <c:pt idx="41">
                  <c:v>22.1</c:v>
                </c:pt>
                <c:pt idx="42">
                  <c:v>22.8</c:v>
                </c:pt>
                <c:pt idx="43">
                  <c:v>23.5</c:v>
                </c:pt>
                <c:pt idx="44">
                  <c:v>23.3</c:v>
                </c:pt>
                <c:pt idx="45">
                  <c:v>24</c:v>
                </c:pt>
                <c:pt idx="46">
                  <c:v>24.5</c:v>
                </c:pt>
                <c:pt idx="47">
                  <c:v>24.3</c:v>
                </c:pt>
                <c:pt idx="48">
                  <c:v>24.8</c:v>
                </c:pt>
                <c:pt idx="49">
                  <c:v>24.5</c:v>
                </c:pt>
                <c:pt idx="50">
                  <c:v>24.7</c:v>
                </c:pt>
              </c:numCache>
            </c:numRef>
          </c:xVal>
          <c:yVal>
            <c:numRef>
              <c:f>Sheet2!$B$2:$B$52</c:f>
              <c:numCache>
                <c:formatCode>General</c:formatCode>
                <c:ptCount val="51"/>
                <c:pt idx="0" formatCode="0.00">
                  <c:v>24273</c:v>
                </c:pt>
                <c:pt idx="1">
                  <c:v>23145</c:v>
                </c:pt>
                <c:pt idx="2">
                  <c:v>22989</c:v>
                </c:pt>
                <c:pt idx="3">
                  <c:v>23524</c:v>
                </c:pt>
                <c:pt idx="4">
                  <c:v>23690</c:v>
                </c:pt>
                <c:pt idx="5">
                  <c:v>23710</c:v>
                </c:pt>
                <c:pt idx="6">
                  <c:v>23738</c:v>
                </c:pt>
                <c:pt idx="7">
                  <c:v>22720</c:v>
                </c:pt>
                <c:pt idx="8">
                  <c:v>22609</c:v>
                </c:pt>
                <c:pt idx="9">
                  <c:v>23276</c:v>
                </c:pt>
                <c:pt idx="10">
                  <c:v>23302</c:v>
                </c:pt>
                <c:pt idx="11">
                  <c:v>23311</c:v>
                </c:pt>
                <c:pt idx="12">
                  <c:v>22354</c:v>
                </c:pt>
                <c:pt idx="13">
                  <c:v>22817</c:v>
                </c:pt>
                <c:pt idx="14">
                  <c:v>22974</c:v>
                </c:pt>
                <c:pt idx="15">
                  <c:v>22988</c:v>
                </c:pt>
                <c:pt idx="16">
                  <c:v>22329</c:v>
                </c:pt>
                <c:pt idx="17">
                  <c:v>22107</c:v>
                </c:pt>
                <c:pt idx="18">
                  <c:v>22031</c:v>
                </c:pt>
                <c:pt idx="19">
                  <c:v>22581</c:v>
                </c:pt>
                <c:pt idx="20">
                  <c:v>22695</c:v>
                </c:pt>
                <c:pt idx="21">
                  <c:v>22729</c:v>
                </c:pt>
                <c:pt idx="22">
                  <c:v>21821</c:v>
                </c:pt>
                <c:pt idx="23">
                  <c:v>21779</c:v>
                </c:pt>
                <c:pt idx="24">
                  <c:v>22446</c:v>
                </c:pt>
                <c:pt idx="25">
                  <c:v>22500</c:v>
                </c:pt>
                <c:pt idx="26">
                  <c:v>22519</c:v>
                </c:pt>
                <c:pt idx="27">
                  <c:v>21714</c:v>
                </c:pt>
                <c:pt idx="28">
                  <c:v>22258</c:v>
                </c:pt>
                <c:pt idx="29">
                  <c:v>22293</c:v>
                </c:pt>
                <c:pt idx="30">
                  <c:v>21945</c:v>
                </c:pt>
                <c:pt idx="31">
                  <c:v>22034</c:v>
                </c:pt>
                <c:pt idx="32">
                  <c:v>21102</c:v>
                </c:pt>
                <c:pt idx="33">
                  <c:v>21686</c:v>
                </c:pt>
                <c:pt idx="34">
                  <c:v>21697</c:v>
                </c:pt>
                <c:pt idx="35">
                  <c:v>20892</c:v>
                </c:pt>
                <c:pt idx="36">
                  <c:v>21545</c:v>
                </c:pt>
                <c:pt idx="37">
                  <c:v>19864</c:v>
                </c:pt>
                <c:pt idx="38">
                  <c:v>20495</c:v>
                </c:pt>
                <c:pt idx="39">
                  <c:v>21172</c:v>
                </c:pt>
                <c:pt idx="40">
                  <c:v>9291</c:v>
                </c:pt>
                <c:pt idx="41">
                  <c:v>9699</c:v>
                </c:pt>
                <c:pt idx="42">
                  <c:v>10005</c:v>
                </c:pt>
                <c:pt idx="43">
                  <c:v>10301</c:v>
                </c:pt>
                <c:pt idx="44">
                  <c:v>10240</c:v>
                </c:pt>
                <c:pt idx="45">
                  <c:v>10547</c:v>
                </c:pt>
                <c:pt idx="46">
                  <c:v>10773</c:v>
                </c:pt>
                <c:pt idx="47">
                  <c:v>10683</c:v>
                </c:pt>
                <c:pt idx="48">
                  <c:v>10866</c:v>
                </c:pt>
                <c:pt idx="49">
                  <c:v>10775</c:v>
                </c:pt>
                <c:pt idx="50">
                  <c:v>10852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D-43F7-8DAC-42BFACDE1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2997632"/>
        <c:axId val="1072990432"/>
      </c:scatterChart>
      <c:valAx>
        <c:axId val="1072997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990432"/>
        <c:crosses val="autoZero"/>
        <c:crossBetween val="midCat"/>
      </c:valAx>
      <c:valAx>
        <c:axId val="107299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997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541020</xdr:colOff>
      <xdr:row>4</xdr:row>
      <xdr:rowOff>80010</xdr:rowOff>
    </xdr:from>
    <xdr:to>
      <xdr:col>18</xdr:col>
      <xdr:colOff>236220</xdr:colOff>
      <xdr:row>19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972206-E069-0336-69C1-E165A849B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600324</xdr:colOff>
      <xdr:row>1</xdr:row>
      <xdr:rowOff>71396</xdr:rowOff>
    </xdr:from>
    <xdr:to>
      <xdr:col>20</xdr:col>
      <xdr:colOff>607944</xdr:colOff>
      <xdr:row>25</xdr:row>
      <xdr:rowOff>75205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564556-9860-8BA0-04E0-49BA2AA3AD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8666AF-50BB-4BBE-9FD2-6D56DEE8FA0B}" name="Table1" displayName="Table1" ref="A2:F10" totalsRowShown="0">
  <autoFilter ref="A2:F10" xr:uid="{BD8666AF-50BB-4BBE-9FD2-6D56DEE8FA0B}"/>
  <tableColumns count="6">
    <tableColumn id="1" xr3:uid="{AE8CE129-E7C8-40C6-ADB7-25F522E65101}" name="Resistance"/>
    <tableColumn id="2" xr3:uid="{93D08EE4-AF90-4DDC-BC74-50A432F8DBC7}" name="Voltage"/>
    <tableColumn id="3" xr3:uid="{84981EAA-7786-46F8-9428-00E7C6A1B6A9}" name="Current">
      <calculatedColumnFormula>B3/A3</calculatedColumnFormula>
    </tableColumn>
    <tableColumn id="4" xr3:uid="{C7A0EF07-9D01-4583-9382-A631FC0DF254}" name="ADS_Reading"/>
    <tableColumn id="5" xr3:uid="{2B4DC4EC-949A-47B1-8AF0-2247DA33C03E}" name="ADS_Voltage"/>
    <tableColumn id="6" xr3:uid="{A415919F-2849-4A91-8788-9EC076FAC791}" name="Column1">
      <calculatedColumnFormula>C3/D3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1353D7-DDA0-49DE-8ED9-2AF68BFC090F}" name="Table3" displayName="Table3" ref="A1:B52" totalsRowShown="0">
  <autoFilter ref="A1:B52" xr:uid="{0D1353D7-DDA0-49DE-8ED9-2AF68BFC090F}"/>
  <tableColumns count="2">
    <tableColumn id="1" xr3:uid="{50135BE6-A35C-4F74-8EBD-08A89CE7B679}" name="Voltage" dataDxfId="1"/>
    <tableColumn id="2" xr3:uid="{CBD67CD9-5644-4CF7-ABBB-1F343E99C38D}" name="ADS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CA684-0FF8-4AB7-A606-34EBDADE9F9C}">
  <dimension ref="A1:F10"/>
  <sheetViews>
    <sheetView zoomScale="85" zoomScaleNormal="85" workbookViewId="0">
      <selection activeCell="F12" sqref="F12"/>
    </sheetView>
  </sheetViews>
  <sheetFormatPr defaultRowHeight="14.4" x14ac:dyDescent="0.3"/>
  <cols>
    <col min="1" max="1" width="15.21875" bestFit="1" customWidth="1"/>
    <col min="2" max="3" width="9.109375" customWidth="1"/>
    <col min="4" max="4" width="13.77734375" customWidth="1"/>
    <col min="5" max="5" width="13.33203125" customWidth="1"/>
    <col min="6" max="6" width="10.33203125" customWidth="1"/>
  </cols>
  <sheetData>
    <row r="1" spans="1:6" x14ac:dyDescent="0.3">
      <c r="A1" t="s">
        <v>0</v>
      </c>
    </row>
    <row r="2" spans="1: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</row>
    <row r="3" spans="1:6" x14ac:dyDescent="0.3">
      <c r="A3">
        <v>0.5</v>
      </c>
      <c r="B3">
        <v>24.3</v>
      </c>
      <c r="C3">
        <f>B3/A3</f>
        <v>48.6</v>
      </c>
      <c r="D3">
        <v>11088</v>
      </c>
      <c r="E3">
        <v>2.08</v>
      </c>
      <c r="F3">
        <f>C3/D3</f>
        <v>4.3831168831168828E-3</v>
      </c>
    </row>
    <row r="4" spans="1:6" x14ac:dyDescent="0.3">
      <c r="A4">
        <v>0.6</v>
      </c>
      <c r="B4">
        <v>24.6</v>
      </c>
      <c r="C4">
        <f t="shared" ref="C4:C10" si="0">B4/A4</f>
        <v>41.000000000000007</v>
      </c>
      <c r="D4">
        <v>9152</v>
      </c>
      <c r="E4">
        <v>1.72</v>
      </c>
      <c r="F4">
        <f t="shared" ref="F4:F10" si="1">C4/D4</f>
        <v>4.4798951048951059E-3</v>
      </c>
    </row>
    <row r="5" spans="1:6" x14ac:dyDescent="0.3">
      <c r="A5">
        <v>0.8</v>
      </c>
      <c r="B5">
        <v>24.8</v>
      </c>
      <c r="C5">
        <f t="shared" si="0"/>
        <v>31</v>
      </c>
      <c r="D5">
        <v>6848</v>
      </c>
      <c r="E5">
        <v>1.28</v>
      </c>
      <c r="F5">
        <f t="shared" si="1"/>
        <v>4.5268691588785043E-3</v>
      </c>
    </row>
    <row r="6" spans="1:6" x14ac:dyDescent="0.3">
      <c r="A6">
        <v>1.1000000000000001</v>
      </c>
      <c r="B6">
        <v>24.8</v>
      </c>
      <c r="C6">
        <f t="shared" si="0"/>
        <v>22.545454545454543</v>
      </c>
      <c r="D6">
        <v>5888</v>
      </c>
      <c r="E6">
        <v>1.1000000000000001</v>
      </c>
      <c r="F6">
        <f t="shared" si="1"/>
        <v>3.8290513833992091E-3</v>
      </c>
    </row>
    <row r="7" spans="1:6" x14ac:dyDescent="0.3">
      <c r="A7">
        <v>1.1000000000000001</v>
      </c>
      <c r="B7">
        <v>25.3</v>
      </c>
      <c r="C7">
        <f t="shared" si="0"/>
        <v>23</v>
      </c>
      <c r="D7">
        <v>5440</v>
      </c>
      <c r="E7">
        <v>1.02</v>
      </c>
      <c r="F7">
        <f t="shared" si="1"/>
        <v>4.227941176470588E-3</v>
      </c>
    </row>
    <row r="8" spans="1:6" x14ac:dyDescent="0.3">
      <c r="A8">
        <v>1</v>
      </c>
      <c r="B8">
        <v>25.5</v>
      </c>
      <c r="C8">
        <f t="shared" si="0"/>
        <v>25.5</v>
      </c>
      <c r="D8">
        <v>6005</v>
      </c>
      <c r="E8">
        <v>1.1100000000000001</v>
      </c>
      <c r="F8">
        <f t="shared" si="1"/>
        <v>4.2464612822647792E-3</v>
      </c>
    </row>
    <row r="9" spans="1:6" x14ac:dyDescent="0.3">
      <c r="A9">
        <v>0.8</v>
      </c>
      <c r="B9">
        <v>25.3</v>
      </c>
      <c r="C9">
        <f t="shared" si="0"/>
        <v>31.625</v>
      </c>
      <c r="D9">
        <v>7693</v>
      </c>
      <c r="E9">
        <v>1.4</v>
      </c>
      <c r="F9">
        <f t="shared" si="1"/>
        <v>4.1108800207981279E-3</v>
      </c>
    </row>
    <row r="10" spans="1:6" x14ac:dyDescent="0.3">
      <c r="A10">
        <v>0.4</v>
      </c>
      <c r="B10">
        <v>24.7</v>
      </c>
      <c r="C10">
        <f t="shared" si="0"/>
        <v>61.749999999999993</v>
      </c>
      <c r="D10">
        <v>10005</v>
      </c>
      <c r="E10">
        <v>1.88</v>
      </c>
      <c r="F10">
        <f t="shared" si="1"/>
        <v>6.1719140429785102E-3</v>
      </c>
    </row>
  </sheetData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DC4AD-CB62-4AC7-86A3-A9EEBC7FEAA5}">
  <dimension ref="A1:I62"/>
  <sheetViews>
    <sheetView tabSelected="1" zoomScale="115" zoomScaleNormal="115" workbookViewId="0">
      <selection activeCell="J22" sqref="J22"/>
    </sheetView>
  </sheetViews>
  <sheetFormatPr defaultRowHeight="14.4" x14ac:dyDescent="0.3"/>
  <cols>
    <col min="1" max="1" width="9.109375" customWidth="1"/>
    <col min="2" max="2" width="13.33203125" customWidth="1"/>
  </cols>
  <sheetData>
    <row r="1" spans="1:9" x14ac:dyDescent="0.3">
      <c r="A1" t="s">
        <v>2</v>
      </c>
      <c r="B1" t="s">
        <v>7</v>
      </c>
      <c r="D1" t="s">
        <v>8</v>
      </c>
      <c r="E1" t="s">
        <v>9</v>
      </c>
      <c r="F1" t="s">
        <v>10</v>
      </c>
      <c r="H1" t="s">
        <v>2</v>
      </c>
      <c r="I1" t="s">
        <v>11</v>
      </c>
    </row>
    <row r="2" spans="1:9" x14ac:dyDescent="0.3">
      <c r="A2" s="2">
        <v>55.2</v>
      </c>
      <c r="B2" s="2">
        <v>24273</v>
      </c>
      <c r="E2">
        <v>439.01</v>
      </c>
      <c r="F2">
        <v>-2.4315000000000002</v>
      </c>
      <c r="H2">
        <v>0</v>
      </c>
      <c r="I2">
        <f>H2*$E$2+$F$2</f>
        <v>-2.4315000000000002</v>
      </c>
    </row>
    <row r="3" spans="1:9" x14ac:dyDescent="0.3">
      <c r="A3" s="1">
        <v>52.8</v>
      </c>
      <c r="B3" s="1">
        <v>23145</v>
      </c>
      <c r="H3">
        <v>1</v>
      </c>
      <c r="I3">
        <f t="shared" ref="I3:I62" si="0">H3*$E$2+$F$2</f>
        <v>436.57849999999996</v>
      </c>
    </row>
    <row r="4" spans="1:9" x14ac:dyDescent="0.3">
      <c r="A4" s="1">
        <v>52.4</v>
      </c>
      <c r="B4" s="1">
        <v>22989</v>
      </c>
      <c r="H4">
        <v>2</v>
      </c>
      <c r="I4">
        <f t="shared" si="0"/>
        <v>875.58849999999995</v>
      </c>
    </row>
    <row r="5" spans="1:9" x14ac:dyDescent="0.3">
      <c r="A5" s="1">
        <v>53.6</v>
      </c>
      <c r="B5" s="1">
        <v>23524</v>
      </c>
      <c r="H5">
        <v>3</v>
      </c>
      <c r="I5">
        <f t="shared" si="0"/>
        <v>1314.5985000000001</v>
      </c>
    </row>
    <row r="6" spans="1:9" x14ac:dyDescent="0.3">
      <c r="A6" s="1">
        <v>53.9</v>
      </c>
      <c r="B6" s="1">
        <v>23690</v>
      </c>
      <c r="H6">
        <v>4</v>
      </c>
      <c r="I6">
        <f t="shared" si="0"/>
        <v>1753.6085</v>
      </c>
    </row>
    <row r="7" spans="1:9" x14ac:dyDescent="0.3">
      <c r="A7" s="1">
        <v>54</v>
      </c>
      <c r="B7" s="1">
        <v>23710</v>
      </c>
      <c r="H7">
        <v>5</v>
      </c>
      <c r="I7">
        <f t="shared" si="0"/>
        <v>2192.6185</v>
      </c>
    </row>
    <row r="8" spans="1:9" x14ac:dyDescent="0.3">
      <c r="A8" s="1">
        <v>54</v>
      </c>
      <c r="B8" s="1">
        <v>23738</v>
      </c>
      <c r="H8">
        <v>6</v>
      </c>
      <c r="I8">
        <f t="shared" si="0"/>
        <v>2631.6284999999998</v>
      </c>
    </row>
    <row r="9" spans="1:9" x14ac:dyDescent="0.3">
      <c r="A9" s="1">
        <v>51.8</v>
      </c>
      <c r="B9" s="1">
        <v>22720</v>
      </c>
      <c r="H9">
        <v>7</v>
      </c>
      <c r="I9">
        <f t="shared" si="0"/>
        <v>3070.6384999999996</v>
      </c>
    </row>
    <row r="10" spans="1:9" x14ac:dyDescent="0.3">
      <c r="A10" s="1">
        <v>51.5</v>
      </c>
      <c r="B10" s="1">
        <v>22609</v>
      </c>
      <c r="H10">
        <v>8</v>
      </c>
      <c r="I10">
        <f t="shared" si="0"/>
        <v>3509.6484999999998</v>
      </c>
    </row>
    <row r="11" spans="1:9" x14ac:dyDescent="0.3">
      <c r="A11" s="1">
        <v>53</v>
      </c>
      <c r="B11" s="1">
        <v>23276</v>
      </c>
      <c r="H11">
        <v>9</v>
      </c>
      <c r="I11">
        <f t="shared" si="0"/>
        <v>3948.6585</v>
      </c>
    </row>
    <row r="12" spans="1:9" x14ac:dyDescent="0.3">
      <c r="A12" s="1">
        <v>53.1</v>
      </c>
      <c r="B12" s="1">
        <v>23302</v>
      </c>
      <c r="H12">
        <v>10</v>
      </c>
      <c r="I12">
        <f t="shared" si="0"/>
        <v>4387.6685000000007</v>
      </c>
    </row>
    <row r="13" spans="1:9" x14ac:dyDescent="0.3">
      <c r="A13" s="1">
        <v>53.1</v>
      </c>
      <c r="B13" s="1">
        <v>23311</v>
      </c>
      <c r="H13">
        <v>11</v>
      </c>
      <c r="I13">
        <f t="shared" si="0"/>
        <v>4826.6785</v>
      </c>
    </row>
    <row r="14" spans="1:9" x14ac:dyDescent="0.3">
      <c r="A14" s="1">
        <v>50.9</v>
      </c>
      <c r="B14" s="1">
        <v>22354</v>
      </c>
      <c r="H14">
        <v>12</v>
      </c>
      <c r="I14">
        <f t="shared" si="0"/>
        <v>5265.6885000000002</v>
      </c>
    </row>
    <row r="15" spans="1:9" x14ac:dyDescent="0.3">
      <c r="A15" s="1">
        <v>52.1</v>
      </c>
      <c r="B15" s="1">
        <v>22817</v>
      </c>
      <c r="H15">
        <v>13</v>
      </c>
      <c r="I15">
        <f t="shared" si="0"/>
        <v>5704.6985000000004</v>
      </c>
    </row>
    <row r="16" spans="1:9" x14ac:dyDescent="0.3">
      <c r="A16" s="1">
        <v>52.3</v>
      </c>
      <c r="B16" s="1">
        <v>22974</v>
      </c>
      <c r="H16">
        <v>14</v>
      </c>
      <c r="I16">
        <f t="shared" si="0"/>
        <v>6143.7084999999997</v>
      </c>
    </row>
    <row r="17" spans="1:9" x14ac:dyDescent="0.3">
      <c r="A17" s="1">
        <v>52.4</v>
      </c>
      <c r="B17" s="1">
        <v>22988</v>
      </c>
      <c r="H17">
        <v>15</v>
      </c>
      <c r="I17">
        <f t="shared" si="0"/>
        <v>6582.7184999999999</v>
      </c>
    </row>
    <row r="18" spans="1:9" x14ac:dyDescent="0.3">
      <c r="A18" s="1">
        <v>50.9</v>
      </c>
      <c r="B18" s="1">
        <v>22329</v>
      </c>
      <c r="H18">
        <v>16</v>
      </c>
      <c r="I18">
        <f t="shared" si="0"/>
        <v>7021.7285000000002</v>
      </c>
    </row>
    <row r="19" spans="1:9" x14ac:dyDescent="0.3">
      <c r="A19" s="1">
        <v>50.4</v>
      </c>
      <c r="B19" s="1">
        <v>22107</v>
      </c>
      <c r="H19">
        <v>17</v>
      </c>
      <c r="I19">
        <f t="shared" si="0"/>
        <v>7460.7385000000004</v>
      </c>
    </row>
    <row r="20" spans="1:9" x14ac:dyDescent="0.3">
      <c r="A20" s="1">
        <v>50.2</v>
      </c>
      <c r="B20" s="1">
        <v>22031</v>
      </c>
      <c r="H20">
        <v>18</v>
      </c>
      <c r="I20">
        <f t="shared" si="0"/>
        <v>7899.7485000000006</v>
      </c>
    </row>
    <row r="21" spans="1:9" x14ac:dyDescent="0.3">
      <c r="A21" s="1">
        <v>51.4</v>
      </c>
      <c r="B21" s="1">
        <v>22581</v>
      </c>
      <c r="H21">
        <v>19</v>
      </c>
      <c r="I21">
        <f t="shared" si="0"/>
        <v>8338.7584999999999</v>
      </c>
    </row>
    <row r="22" spans="1:9" x14ac:dyDescent="0.3">
      <c r="A22" s="1">
        <v>51.7</v>
      </c>
      <c r="B22" s="1">
        <v>22695</v>
      </c>
      <c r="H22">
        <v>20</v>
      </c>
      <c r="I22">
        <f t="shared" si="0"/>
        <v>8777.7685000000001</v>
      </c>
    </row>
    <row r="23" spans="1:9" x14ac:dyDescent="0.3">
      <c r="A23" s="1">
        <v>51.8</v>
      </c>
      <c r="B23" s="1">
        <v>22729</v>
      </c>
      <c r="H23">
        <v>21</v>
      </c>
      <c r="I23">
        <f t="shared" si="0"/>
        <v>9216.7784999999985</v>
      </c>
    </row>
    <row r="24" spans="1:9" x14ac:dyDescent="0.3">
      <c r="A24" s="1">
        <v>49.8</v>
      </c>
      <c r="B24" s="1">
        <v>21821</v>
      </c>
      <c r="H24">
        <v>22</v>
      </c>
      <c r="I24">
        <f t="shared" si="0"/>
        <v>9655.7884999999987</v>
      </c>
    </row>
    <row r="25" spans="1:9" x14ac:dyDescent="0.3">
      <c r="A25" s="1">
        <v>49.6</v>
      </c>
      <c r="B25" s="1">
        <v>21779</v>
      </c>
      <c r="H25">
        <v>23</v>
      </c>
      <c r="I25">
        <f t="shared" si="0"/>
        <v>10094.798499999999</v>
      </c>
    </row>
    <row r="26" spans="1:9" x14ac:dyDescent="0.3">
      <c r="A26" s="1">
        <v>51.2</v>
      </c>
      <c r="B26" s="1">
        <v>22446</v>
      </c>
      <c r="H26">
        <v>24</v>
      </c>
      <c r="I26">
        <f t="shared" si="0"/>
        <v>10533.808499999999</v>
      </c>
    </row>
    <row r="27" spans="1:9" x14ac:dyDescent="0.3">
      <c r="A27" s="1">
        <v>51.2</v>
      </c>
      <c r="B27" s="1">
        <v>22500</v>
      </c>
      <c r="H27">
        <v>25</v>
      </c>
      <c r="I27">
        <f t="shared" si="0"/>
        <v>10972.818499999999</v>
      </c>
    </row>
    <row r="28" spans="1:9" x14ac:dyDescent="0.3">
      <c r="A28" s="1">
        <v>51.3</v>
      </c>
      <c r="B28" s="1">
        <v>22519</v>
      </c>
      <c r="H28">
        <v>26</v>
      </c>
      <c r="I28">
        <f t="shared" si="0"/>
        <v>11411.8285</v>
      </c>
    </row>
    <row r="29" spans="1:9" x14ac:dyDescent="0.3">
      <c r="A29" s="1">
        <v>49.5</v>
      </c>
      <c r="B29" s="1">
        <v>21714</v>
      </c>
      <c r="H29">
        <v>27</v>
      </c>
      <c r="I29">
        <f t="shared" si="0"/>
        <v>11850.8385</v>
      </c>
    </row>
    <row r="30" spans="1:9" x14ac:dyDescent="0.3">
      <c r="A30" s="1">
        <v>50.7</v>
      </c>
      <c r="B30" s="1">
        <v>22258</v>
      </c>
      <c r="H30">
        <v>28</v>
      </c>
      <c r="I30">
        <f t="shared" si="0"/>
        <v>12289.848499999998</v>
      </c>
    </row>
    <row r="31" spans="1:9" x14ac:dyDescent="0.3">
      <c r="A31" s="1">
        <v>50.8</v>
      </c>
      <c r="B31" s="1">
        <v>22293</v>
      </c>
      <c r="H31">
        <v>29</v>
      </c>
      <c r="I31">
        <f t="shared" si="0"/>
        <v>12728.858499999998</v>
      </c>
    </row>
    <row r="32" spans="1:9" x14ac:dyDescent="0.3">
      <c r="A32" s="1">
        <v>50</v>
      </c>
      <c r="B32" s="1">
        <v>21945</v>
      </c>
      <c r="H32">
        <v>30</v>
      </c>
      <c r="I32">
        <f t="shared" si="0"/>
        <v>13167.868499999999</v>
      </c>
    </row>
    <row r="33" spans="1:9" x14ac:dyDescent="0.3">
      <c r="A33" s="1">
        <v>50.2</v>
      </c>
      <c r="B33" s="1">
        <v>22034</v>
      </c>
      <c r="H33">
        <v>31</v>
      </c>
      <c r="I33">
        <f t="shared" si="0"/>
        <v>13606.878499999999</v>
      </c>
    </row>
    <row r="34" spans="1:9" x14ac:dyDescent="0.3">
      <c r="A34" s="1">
        <v>48.1</v>
      </c>
      <c r="B34" s="1">
        <v>21102</v>
      </c>
      <c r="H34">
        <v>32</v>
      </c>
      <c r="I34">
        <f t="shared" si="0"/>
        <v>14045.888499999999</v>
      </c>
    </row>
    <row r="35" spans="1:9" x14ac:dyDescent="0.3">
      <c r="A35" s="1">
        <v>49.4</v>
      </c>
      <c r="B35" s="1">
        <v>21686</v>
      </c>
      <c r="H35">
        <v>33</v>
      </c>
      <c r="I35">
        <f t="shared" si="0"/>
        <v>14484.898499999999</v>
      </c>
    </row>
    <row r="36" spans="1:9" x14ac:dyDescent="0.3">
      <c r="A36" s="1">
        <v>49.4</v>
      </c>
      <c r="B36" s="1">
        <v>21697</v>
      </c>
      <c r="H36">
        <v>34</v>
      </c>
      <c r="I36">
        <f t="shared" si="0"/>
        <v>14923.9085</v>
      </c>
    </row>
    <row r="37" spans="1:9" x14ac:dyDescent="0.3">
      <c r="A37" s="1">
        <v>47.6</v>
      </c>
      <c r="B37" s="1">
        <v>20892</v>
      </c>
      <c r="H37">
        <v>35</v>
      </c>
      <c r="I37">
        <f t="shared" si="0"/>
        <v>15362.9185</v>
      </c>
    </row>
    <row r="38" spans="1:9" x14ac:dyDescent="0.3">
      <c r="A38" s="1">
        <v>49.1</v>
      </c>
      <c r="B38" s="1">
        <v>21545</v>
      </c>
      <c r="H38">
        <v>36</v>
      </c>
      <c r="I38">
        <f t="shared" si="0"/>
        <v>15801.9285</v>
      </c>
    </row>
    <row r="39" spans="1:9" x14ac:dyDescent="0.3">
      <c r="A39" s="1">
        <v>45.1</v>
      </c>
      <c r="B39" s="1">
        <v>19864</v>
      </c>
      <c r="H39">
        <v>37</v>
      </c>
      <c r="I39">
        <f t="shared" si="0"/>
        <v>16240.938499999998</v>
      </c>
    </row>
    <row r="40" spans="1:9" x14ac:dyDescent="0.3">
      <c r="A40" s="1">
        <v>46.7</v>
      </c>
      <c r="B40" s="1">
        <v>20495</v>
      </c>
      <c r="H40">
        <v>38</v>
      </c>
      <c r="I40">
        <f t="shared" si="0"/>
        <v>16679.948500000002</v>
      </c>
    </row>
    <row r="41" spans="1:9" x14ac:dyDescent="0.3">
      <c r="A41" s="1">
        <v>48.2</v>
      </c>
      <c r="B41" s="1">
        <v>21172</v>
      </c>
      <c r="H41">
        <v>39</v>
      </c>
      <c r="I41">
        <f t="shared" si="0"/>
        <v>17118.958500000001</v>
      </c>
    </row>
    <row r="42" spans="1:9" x14ac:dyDescent="0.3">
      <c r="A42" s="1">
        <v>21.3</v>
      </c>
      <c r="B42" s="1">
        <v>9291</v>
      </c>
      <c r="H42">
        <v>40</v>
      </c>
      <c r="I42">
        <f t="shared" si="0"/>
        <v>17557.968500000003</v>
      </c>
    </row>
    <row r="43" spans="1:9" x14ac:dyDescent="0.3">
      <c r="A43" s="1">
        <v>22.1</v>
      </c>
      <c r="B43" s="1">
        <v>9699</v>
      </c>
      <c r="H43">
        <v>41</v>
      </c>
      <c r="I43">
        <f t="shared" si="0"/>
        <v>17996.978500000001</v>
      </c>
    </row>
    <row r="44" spans="1:9" x14ac:dyDescent="0.3">
      <c r="A44" s="1">
        <v>22.8</v>
      </c>
      <c r="B44" s="1">
        <v>10005</v>
      </c>
      <c r="H44">
        <v>42</v>
      </c>
      <c r="I44">
        <f t="shared" si="0"/>
        <v>18435.988499999999</v>
      </c>
    </row>
    <row r="45" spans="1:9" x14ac:dyDescent="0.3">
      <c r="A45" s="1">
        <v>23.5</v>
      </c>
      <c r="B45" s="1">
        <v>10301</v>
      </c>
      <c r="H45">
        <v>43</v>
      </c>
      <c r="I45">
        <f t="shared" si="0"/>
        <v>18874.998500000002</v>
      </c>
    </row>
    <row r="46" spans="1:9" x14ac:dyDescent="0.3">
      <c r="A46" s="1">
        <v>23.3</v>
      </c>
      <c r="B46" s="1">
        <v>10240</v>
      </c>
      <c r="H46">
        <v>44</v>
      </c>
      <c r="I46">
        <f t="shared" si="0"/>
        <v>19314.0085</v>
      </c>
    </row>
    <row r="47" spans="1:9" x14ac:dyDescent="0.3">
      <c r="A47" s="1">
        <v>24</v>
      </c>
      <c r="B47" s="1">
        <v>10547</v>
      </c>
      <c r="H47">
        <v>45</v>
      </c>
      <c r="I47">
        <f t="shared" si="0"/>
        <v>19753.018500000002</v>
      </c>
    </row>
    <row r="48" spans="1:9" x14ac:dyDescent="0.3">
      <c r="A48" s="1">
        <v>24.5</v>
      </c>
      <c r="B48" s="1">
        <v>10773</v>
      </c>
      <c r="H48">
        <v>46</v>
      </c>
      <c r="I48">
        <f t="shared" si="0"/>
        <v>20192.0285</v>
      </c>
    </row>
    <row r="49" spans="1:9" x14ac:dyDescent="0.3">
      <c r="A49" s="1">
        <v>24.3</v>
      </c>
      <c r="B49" s="1">
        <v>10683</v>
      </c>
      <c r="H49">
        <v>47</v>
      </c>
      <c r="I49">
        <f t="shared" si="0"/>
        <v>20631.038500000002</v>
      </c>
    </row>
    <row r="50" spans="1:9" x14ac:dyDescent="0.3">
      <c r="A50" s="1">
        <v>24.8</v>
      </c>
      <c r="B50" s="1">
        <v>10866</v>
      </c>
      <c r="H50">
        <v>48</v>
      </c>
      <c r="I50">
        <f t="shared" si="0"/>
        <v>21070.048500000001</v>
      </c>
    </row>
    <row r="51" spans="1:9" x14ac:dyDescent="0.3">
      <c r="A51" s="1">
        <v>24.5</v>
      </c>
      <c r="B51" s="1">
        <v>10775</v>
      </c>
      <c r="H51">
        <v>49</v>
      </c>
      <c r="I51">
        <f t="shared" si="0"/>
        <v>21509.058499999999</v>
      </c>
    </row>
    <row r="52" spans="1:9" x14ac:dyDescent="0.3">
      <c r="A52" s="1">
        <v>24.7</v>
      </c>
      <c r="B52" s="1">
        <v>10852</v>
      </c>
      <c r="H52">
        <v>50</v>
      </c>
      <c r="I52">
        <f t="shared" si="0"/>
        <v>21948.068500000001</v>
      </c>
    </row>
    <row r="53" spans="1:9" x14ac:dyDescent="0.3">
      <c r="H53">
        <v>51</v>
      </c>
      <c r="I53">
        <f t="shared" si="0"/>
        <v>22387.0785</v>
      </c>
    </row>
    <row r="54" spans="1:9" x14ac:dyDescent="0.3">
      <c r="H54">
        <v>52</v>
      </c>
      <c r="I54">
        <f t="shared" si="0"/>
        <v>22826.088500000002</v>
      </c>
    </row>
    <row r="55" spans="1:9" x14ac:dyDescent="0.3">
      <c r="H55">
        <v>53</v>
      </c>
      <c r="I55">
        <f t="shared" si="0"/>
        <v>23265.0985</v>
      </c>
    </row>
    <row r="56" spans="1:9" x14ac:dyDescent="0.3">
      <c r="H56">
        <v>54</v>
      </c>
      <c r="I56">
        <f t="shared" si="0"/>
        <v>23704.108500000002</v>
      </c>
    </row>
    <row r="57" spans="1:9" x14ac:dyDescent="0.3">
      <c r="H57">
        <v>55</v>
      </c>
      <c r="I57">
        <f t="shared" si="0"/>
        <v>24143.1185</v>
      </c>
    </row>
    <row r="58" spans="1:9" x14ac:dyDescent="0.3">
      <c r="H58">
        <v>56</v>
      </c>
      <c r="I58">
        <f t="shared" si="0"/>
        <v>24582.128499999999</v>
      </c>
    </row>
    <row r="59" spans="1:9" x14ac:dyDescent="0.3">
      <c r="H59">
        <v>57</v>
      </c>
      <c r="I59">
        <f t="shared" si="0"/>
        <v>25021.138500000001</v>
      </c>
    </row>
    <row r="60" spans="1:9" x14ac:dyDescent="0.3">
      <c r="H60">
        <v>58</v>
      </c>
      <c r="I60">
        <f t="shared" si="0"/>
        <v>25460.148499999999</v>
      </c>
    </row>
    <row r="61" spans="1:9" x14ac:dyDescent="0.3">
      <c r="H61">
        <v>59</v>
      </c>
      <c r="I61">
        <f t="shared" si="0"/>
        <v>25899.158500000001</v>
      </c>
    </row>
    <row r="62" spans="1:9" x14ac:dyDescent="0.3">
      <c r="H62">
        <v>60</v>
      </c>
      <c r="I62">
        <f t="shared" si="0"/>
        <v>26338.1685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 Qian Fu</dc:creator>
  <cp:lastModifiedBy>Kor Qian Fu</cp:lastModifiedBy>
  <dcterms:created xsi:type="dcterms:W3CDTF">2026-03-04T13:20:05Z</dcterms:created>
  <dcterms:modified xsi:type="dcterms:W3CDTF">2026-04-16T17:48:16Z</dcterms:modified>
</cp:coreProperties>
</file>